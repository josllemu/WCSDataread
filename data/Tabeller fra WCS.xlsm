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785" yWindow="-15" windowWidth="10620" windowHeight="10005" tabRatio="881" activeTab="1"/>
  </bookViews>
  <sheets>
    <sheet name="Filer" sheetId="29" r:id="rId1"/>
    <sheet name="DB Kolnavne" sheetId="26" r:id="rId2"/>
    <sheet name="Info" sheetId="28" r:id="rId3"/>
    <sheet name="Bat" sheetId="27" r:id="rId4"/>
    <sheet name="Item-dat" sheetId="5" r:id="rId5"/>
    <sheet name="Container-dat" sheetId="1" r:id="rId6"/>
    <sheet name="Customer_label-dat" sheetId="2" r:id="rId7"/>
    <sheet name="Item_conf-dat" sheetId="3" r:id="rId8"/>
    <sheet name="Item_ext-dat" sheetId="4" r:id="rId9"/>
    <sheet name="Lmg_sscc-dat" sheetId="6" r:id="rId10"/>
    <sheet name="Location-dat" sheetId="7" r:id="rId11"/>
    <sheet name="Mat0088" sheetId="8" r:id="rId12"/>
    <sheet name="Materiale-type" sheetId="9" r:id="rId13"/>
    <sheet name="Movements-dat" sheetId="10" r:id="rId14"/>
    <sheet name="operator_event-dat" sheetId="11" r:id="rId15"/>
    <sheet name="pick_count-dat" sheetId="12" r:id="rId16"/>
    <sheet name="pick_req-dat" sheetId="13" r:id="rId17"/>
    <sheet name="putaway-dat" sheetId="14" r:id="rId18"/>
    <sheet name="replen_qty-dat" sheetId="15" r:id="rId19"/>
    <sheet name="Sap-materialer" sheetId="16" r:id="rId20"/>
    <sheet name="stock_req-dat" sheetId="17" r:id="rId21"/>
    <sheet name="stock_spread-dat" sheetId="18" r:id="rId22"/>
    <sheet name="stock-dat" sheetId="19" r:id="rId23"/>
    <sheet name="supply-dat" sheetId="20" r:id="rId24"/>
    <sheet name="users-dat" sheetId="21" r:id="rId25"/>
    <sheet name="wms_order_line-dat" sheetId="22" r:id="rId26"/>
    <sheet name="wms_order-dat" sheetId="23" r:id="rId27"/>
    <sheet name="zones-dat" sheetId="24" r:id="rId28"/>
    <sheet name="Ark1" sheetId="25" r:id="rId29"/>
  </sheets>
  <definedNames>
    <definedName name="_xlnm._FilterDatabase" localSheetId="1" hidden="1">'DB Kolnavne'!$A$1:$L$631</definedName>
    <definedName name="_xlnm.Print_Area" localSheetId="0">Filer!$A$1:$D$41</definedName>
  </definedNames>
  <calcPr calcId="125725"/>
</workbook>
</file>

<file path=xl/calcChain.xml><?xml version="1.0" encoding="utf-8"?>
<calcChain xmlns="http://schemas.openxmlformats.org/spreadsheetml/2006/main">
  <c r="G157" i="26"/>
  <c r="G156"/>
  <c r="G150"/>
  <c r="G15"/>
  <c r="B151"/>
  <c r="L1"/>
  <c r="K1"/>
  <c r="J1"/>
  <c r="I1"/>
  <c r="H1"/>
  <c r="A421"/>
  <c r="G421" s="1"/>
  <c r="A299"/>
  <c r="G299" s="1"/>
  <c r="G575"/>
  <c r="G551"/>
  <c r="G543"/>
  <c r="G527"/>
  <c r="G512"/>
  <c r="G490"/>
  <c r="G461"/>
  <c r="G453"/>
  <c r="G422"/>
  <c r="G400"/>
  <c r="G390"/>
  <c r="G373"/>
  <c r="G359"/>
  <c r="G346"/>
  <c r="G319"/>
  <c r="G327"/>
  <c r="G312"/>
  <c r="G300"/>
  <c r="G283"/>
  <c r="G254"/>
  <c r="G198"/>
  <c r="G192"/>
  <c r="G186"/>
  <c r="G87"/>
  <c r="G605"/>
  <c r="G595"/>
  <c r="G279"/>
  <c r="G229"/>
  <c r="G224"/>
  <c r="G165"/>
  <c r="G159"/>
  <c r="G603"/>
  <c r="G149"/>
  <c r="G116"/>
  <c r="G82"/>
  <c r="G59"/>
  <c r="G60"/>
  <c r="G602"/>
  <c r="G601"/>
  <c r="G600"/>
  <c r="G599"/>
  <c r="G598"/>
  <c r="G597"/>
  <c r="G596"/>
  <c r="G549"/>
  <c r="G548"/>
  <c r="G547"/>
  <c r="G546"/>
  <c r="G545"/>
  <c r="G544"/>
  <c r="G541"/>
  <c r="G540"/>
  <c r="G539"/>
  <c r="G538"/>
  <c r="G537"/>
  <c r="G536"/>
  <c r="G535"/>
  <c r="G534"/>
  <c r="G533"/>
  <c r="G532"/>
  <c r="G531"/>
  <c r="G530"/>
  <c r="G529"/>
  <c r="G528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398"/>
  <c r="G397"/>
  <c r="G396"/>
  <c r="G395"/>
  <c r="G394"/>
  <c r="G393"/>
  <c r="G392"/>
  <c r="G391"/>
  <c r="G357"/>
  <c r="G356"/>
  <c r="G355"/>
  <c r="G354"/>
  <c r="G353"/>
  <c r="G352"/>
  <c r="G351"/>
  <c r="G350"/>
  <c r="G349"/>
  <c r="G348"/>
  <c r="G347"/>
  <c r="G317"/>
  <c r="G316"/>
  <c r="G315"/>
  <c r="G314"/>
  <c r="G313"/>
  <c r="G310"/>
  <c r="G309"/>
  <c r="G308"/>
  <c r="G307"/>
  <c r="G306"/>
  <c r="G305"/>
  <c r="G304"/>
  <c r="G303"/>
  <c r="G302"/>
  <c r="G301"/>
  <c r="G298"/>
  <c r="G297"/>
  <c r="G296"/>
  <c r="G295"/>
  <c r="G294"/>
  <c r="G293"/>
  <c r="G292"/>
  <c r="G291"/>
  <c r="G290"/>
  <c r="G289"/>
  <c r="G288"/>
  <c r="G287"/>
  <c r="G286"/>
  <c r="G285"/>
  <c r="G284"/>
  <c r="G281"/>
  <c r="G280"/>
  <c r="G227"/>
  <c r="G226"/>
  <c r="G225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6"/>
  <c r="G195"/>
  <c r="G194"/>
  <c r="G193"/>
  <c r="G190"/>
  <c r="G189"/>
  <c r="G188"/>
  <c r="G187"/>
  <c r="G155"/>
  <c r="G154"/>
  <c r="G153"/>
  <c r="G152"/>
  <c r="G151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9"/>
  <c r="G2"/>
  <c r="A596"/>
  <c r="A597" s="1"/>
  <c r="A598" s="1"/>
  <c r="A599" s="1"/>
  <c r="A600" s="1"/>
  <c r="A601" s="1"/>
  <c r="A602" s="1"/>
  <c r="A603" s="1"/>
  <c r="A604" s="1"/>
  <c r="G604" s="1"/>
  <c r="A544"/>
  <c r="A545" s="1"/>
  <c r="A546" s="1"/>
  <c r="A547" s="1"/>
  <c r="A548" s="1"/>
  <c r="A549" s="1"/>
  <c r="A550" s="1"/>
  <c r="G550" s="1"/>
  <c r="A528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G542" s="1"/>
  <c r="A391"/>
  <c r="A392" s="1"/>
  <c r="A393" s="1"/>
  <c r="A394" s="1"/>
  <c r="A395" s="1"/>
  <c r="A396" s="1"/>
  <c r="A397" s="1"/>
  <c r="A398" s="1"/>
  <c r="A399" s="1"/>
  <c r="G399" s="1"/>
  <c r="A347"/>
  <c r="A348" s="1"/>
  <c r="A349" s="1"/>
  <c r="A350" s="1"/>
  <c r="A351" s="1"/>
  <c r="A352" s="1"/>
  <c r="A353" s="1"/>
  <c r="A354" s="1"/>
  <c r="A355" s="1"/>
  <c r="A356" s="1"/>
  <c r="A357" s="1"/>
  <c r="A358" s="1"/>
  <c r="G358" s="1"/>
  <c r="A313"/>
  <c r="A314" s="1"/>
  <c r="A315" s="1"/>
  <c r="A316" s="1"/>
  <c r="A317" s="1"/>
  <c r="A318" s="1"/>
  <c r="G318" s="1"/>
  <c r="A301"/>
  <c r="A302" s="1"/>
  <c r="A303" s="1"/>
  <c r="A304" s="1"/>
  <c r="A305" s="1"/>
  <c r="A306" s="1"/>
  <c r="A307" s="1"/>
  <c r="A308" s="1"/>
  <c r="A309" s="1"/>
  <c r="A310" s="1"/>
  <c r="A311" s="1"/>
  <c r="G311" s="1"/>
  <c r="A280"/>
  <c r="A281" s="1"/>
  <c r="A282" s="1"/>
  <c r="G282" s="1"/>
  <c r="A199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G223" s="1"/>
  <c r="A160"/>
  <c r="A161" s="1"/>
  <c r="A162" s="1"/>
  <c r="A163" s="1"/>
  <c r="A164" s="1"/>
  <c r="G164" s="1"/>
  <c r="A150"/>
  <c r="A151" s="1"/>
  <c r="A152" s="1"/>
  <c r="A153" s="1"/>
  <c r="A154" s="1"/>
  <c r="A155" s="1"/>
  <c r="A158" s="1"/>
  <c r="G158" s="1"/>
  <c r="A117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G148" s="1"/>
  <c r="A88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G115" s="1"/>
  <c r="A83"/>
  <c r="A84" s="1"/>
  <c r="A85" s="1"/>
  <c r="A86" s="1"/>
  <c r="G86" s="1"/>
  <c r="A10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G30" s="1"/>
  <c r="A3"/>
  <c r="A4" s="1"/>
  <c r="A5" s="1"/>
  <c r="A6" s="1"/>
  <c r="A7" s="1"/>
  <c r="A8" s="1"/>
  <c r="G8" s="1"/>
  <c r="F320"/>
  <c r="F321"/>
  <c r="A225"/>
  <c r="A226" s="1"/>
  <c r="A227" s="1"/>
  <c r="A228" s="1"/>
  <c r="G228" s="1"/>
  <c r="A193"/>
  <c r="A194" s="1"/>
  <c r="A195" s="1"/>
  <c r="A196" s="1"/>
  <c r="A197" s="1"/>
  <c r="G197" s="1"/>
  <c r="A187"/>
  <c r="A188" s="1"/>
  <c r="A189" s="1"/>
  <c r="A190" s="1"/>
  <c r="A191" s="1"/>
  <c r="G191" s="1"/>
  <c r="G84"/>
  <c r="G28"/>
  <c r="G27"/>
  <c r="G24"/>
  <c r="G23"/>
  <c r="G20"/>
  <c r="G19"/>
  <c r="G12"/>
  <c r="G11"/>
  <c r="G10"/>
  <c r="G5"/>
  <c r="G4"/>
  <c r="E3" i="29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"/>
  <c r="I2" s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2"/>
  <c r="C48" i="27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47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C60" i="26"/>
  <c r="B160" l="1"/>
  <c r="B156"/>
  <c r="B152"/>
  <c r="B148"/>
  <c r="A156"/>
  <c r="A157" s="1"/>
  <c r="B161"/>
  <c r="B157"/>
  <c r="B153"/>
  <c r="B149"/>
  <c r="B158"/>
  <c r="B154"/>
  <c r="B150"/>
  <c r="B159"/>
  <c r="B155"/>
  <c r="B7"/>
  <c r="B629"/>
  <c r="B13"/>
  <c r="B6"/>
  <c r="B16"/>
  <c r="B14"/>
  <c r="B18"/>
  <c r="B22"/>
  <c r="B26"/>
  <c r="B83"/>
  <c r="G16"/>
  <c r="G83"/>
  <c r="B17"/>
  <c r="B21"/>
  <c r="B25"/>
  <c r="B29"/>
  <c r="B20"/>
  <c r="B28"/>
  <c r="B85"/>
  <c r="B182"/>
  <c r="G14"/>
  <c r="G18"/>
  <c r="G22"/>
  <c r="G26"/>
  <c r="G85"/>
  <c r="B12"/>
  <c r="B24"/>
  <c r="B15"/>
  <c r="B19"/>
  <c r="B23"/>
  <c r="B27"/>
  <c r="G13"/>
  <c r="G17"/>
  <c r="G21"/>
  <c r="G25"/>
  <c r="G29"/>
  <c r="G81"/>
  <c r="B63"/>
  <c r="B113"/>
  <c r="B146"/>
  <c r="B193"/>
  <c r="B218"/>
  <c r="B257"/>
  <c r="B283"/>
  <c r="B313"/>
  <c r="B343"/>
  <c r="B365"/>
  <c r="B395"/>
  <c r="B408"/>
  <c r="B412"/>
  <c r="B416"/>
  <c r="B420"/>
  <c r="B425"/>
  <c r="B429"/>
  <c r="B433"/>
  <c r="B437"/>
  <c r="B441"/>
  <c r="B445"/>
  <c r="B449"/>
  <c r="B454"/>
  <c r="B458"/>
  <c r="B463"/>
  <c r="B467"/>
  <c r="B471"/>
  <c r="B475"/>
  <c r="B479"/>
  <c r="B483"/>
  <c r="B487"/>
  <c r="B492"/>
  <c r="B496"/>
  <c r="B500"/>
  <c r="B504"/>
  <c r="B508"/>
  <c r="B513"/>
  <c r="B517"/>
  <c r="B521"/>
  <c r="B525"/>
  <c r="B530"/>
  <c r="B534"/>
  <c r="B538"/>
  <c r="B543"/>
  <c r="B547"/>
  <c r="B552"/>
  <c r="B556"/>
  <c r="B560"/>
  <c r="B564"/>
  <c r="B568"/>
  <c r="B572"/>
  <c r="B577"/>
  <c r="B581"/>
  <c r="B585"/>
  <c r="B589"/>
  <c r="B593"/>
  <c r="B598"/>
  <c r="B602"/>
  <c r="B607"/>
  <c r="B611"/>
  <c r="B615"/>
  <c r="B619"/>
  <c r="B624"/>
  <c r="B628"/>
  <c r="G3"/>
  <c r="G7"/>
  <c r="B187"/>
  <c r="B192"/>
  <c r="B196"/>
  <c r="B201"/>
  <c r="B205"/>
  <c r="B209"/>
  <c r="B213"/>
  <c r="B217"/>
  <c r="B221"/>
  <c r="B226"/>
  <c r="B231"/>
  <c r="B235"/>
  <c r="B239"/>
  <c r="B243"/>
  <c r="B247"/>
  <c r="B251"/>
  <c r="B256"/>
  <c r="B260"/>
  <c r="B264"/>
  <c r="B268"/>
  <c r="B272"/>
  <c r="B276"/>
  <c r="B281"/>
  <c r="B286"/>
  <c r="B290"/>
  <c r="B294"/>
  <c r="B298"/>
  <c r="B303"/>
  <c r="B307"/>
  <c r="B312"/>
  <c r="B316"/>
  <c r="B321"/>
  <c r="B325"/>
  <c r="B330"/>
  <c r="B334"/>
  <c r="B338"/>
  <c r="B342"/>
  <c r="B347"/>
  <c r="B351"/>
  <c r="B355"/>
  <c r="B360"/>
  <c r="B364"/>
  <c r="B368"/>
  <c r="B373"/>
  <c r="B377"/>
  <c r="B381"/>
  <c r="B385"/>
  <c r="B390"/>
  <c r="B394"/>
  <c r="B398"/>
  <c r="B403"/>
  <c r="B407"/>
  <c r="B411"/>
  <c r="B415"/>
  <c r="B419"/>
  <c r="B424"/>
  <c r="B428"/>
  <c r="B432"/>
  <c r="B436"/>
  <c r="B440"/>
  <c r="B444"/>
  <c r="B448"/>
  <c r="B453"/>
  <c r="B457"/>
  <c r="B462"/>
  <c r="B466"/>
  <c r="B470"/>
  <c r="B474"/>
  <c r="B478"/>
  <c r="B482"/>
  <c r="B486"/>
  <c r="B491"/>
  <c r="B495"/>
  <c r="B499"/>
  <c r="B503"/>
  <c r="B507"/>
  <c r="B512"/>
  <c r="B516"/>
  <c r="B520"/>
  <c r="B524"/>
  <c r="B529"/>
  <c r="B533"/>
  <c r="B537"/>
  <c r="B541"/>
  <c r="B546"/>
  <c r="B551"/>
  <c r="B555"/>
  <c r="B559"/>
  <c r="B563"/>
  <c r="B567"/>
  <c r="B571"/>
  <c r="B576"/>
  <c r="B580"/>
  <c r="B584"/>
  <c r="B588"/>
  <c r="B592"/>
  <c r="B597"/>
  <c r="B601"/>
  <c r="B606"/>
  <c r="B610"/>
  <c r="B614"/>
  <c r="B618"/>
  <c r="B622"/>
  <c r="B627"/>
  <c r="B631"/>
  <c r="G6"/>
  <c r="B9"/>
  <c r="B38"/>
  <c r="B46"/>
  <c r="B54"/>
  <c r="B67"/>
  <c r="B84"/>
  <c r="B89"/>
  <c r="B101"/>
  <c r="B122"/>
  <c r="B130"/>
  <c r="B138"/>
  <c r="B162"/>
  <c r="B171"/>
  <c r="B188"/>
  <c r="B202"/>
  <c r="B210"/>
  <c r="B227"/>
  <c r="B236"/>
  <c r="B244"/>
  <c r="B252"/>
  <c r="B265"/>
  <c r="B273"/>
  <c r="B277"/>
  <c r="B291"/>
  <c r="B304"/>
  <c r="B317"/>
  <c r="B331"/>
  <c r="B348"/>
  <c r="B356"/>
  <c r="B369"/>
  <c r="B378"/>
  <c r="B386"/>
  <c r="B404"/>
  <c r="B33"/>
  <c r="B41"/>
  <c r="B45"/>
  <c r="B49"/>
  <c r="B53"/>
  <c r="B57"/>
  <c r="B62"/>
  <c r="B66"/>
  <c r="B70"/>
  <c r="B74"/>
  <c r="B78"/>
  <c r="B88"/>
  <c r="B92"/>
  <c r="B96"/>
  <c r="B100"/>
  <c r="B104"/>
  <c r="B108"/>
  <c r="B112"/>
  <c r="B117"/>
  <c r="B121"/>
  <c r="B125"/>
  <c r="B129"/>
  <c r="B133"/>
  <c r="B137"/>
  <c r="B141"/>
  <c r="B145"/>
  <c r="B166"/>
  <c r="B170"/>
  <c r="B174"/>
  <c r="B178"/>
  <c r="B11"/>
  <c r="B32"/>
  <c r="B36"/>
  <c r="B40"/>
  <c r="B44"/>
  <c r="B48"/>
  <c r="B52"/>
  <c r="B56"/>
  <c r="B61"/>
  <c r="B65"/>
  <c r="B69"/>
  <c r="B73"/>
  <c r="B77"/>
  <c r="B82"/>
  <c r="B87"/>
  <c r="B91"/>
  <c r="B95"/>
  <c r="B99"/>
  <c r="B103"/>
  <c r="B107"/>
  <c r="B111"/>
  <c r="B116"/>
  <c r="B120"/>
  <c r="B124"/>
  <c r="B128"/>
  <c r="B132"/>
  <c r="B136"/>
  <c r="B140"/>
  <c r="B144"/>
  <c r="B165"/>
  <c r="B169"/>
  <c r="B173"/>
  <c r="B177"/>
  <c r="B181"/>
  <c r="B186"/>
  <c r="B190"/>
  <c r="B195"/>
  <c r="B200"/>
  <c r="B204"/>
  <c r="B208"/>
  <c r="B212"/>
  <c r="B216"/>
  <c r="B220"/>
  <c r="B225"/>
  <c r="B230"/>
  <c r="B234"/>
  <c r="B238"/>
  <c r="B242"/>
  <c r="B246"/>
  <c r="B250"/>
  <c r="B255"/>
  <c r="B259"/>
  <c r="B263"/>
  <c r="B267"/>
  <c r="B271"/>
  <c r="B275"/>
  <c r="B280"/>
  <c r="B285"/>
  <c r="B289"/>
  <c r="B293"/>
  <c r="B297"/>
  <c r="B302"/>
  <c r="B306"/>
  <c r="B310"/>
  <c r="B315"/>
  <c r="B320"/>
  <c r="B324"/>
  <c r="B329"/>
  <c r="B333"/>
  <c r="B337"/>
  <c r="B341"/>
  <c r="B346"/>
  <c r="B350"/>
  <c r="B354"/>
  <c r="B359"/>
  <c r="B363"/>
  <c r="B367"/>
  <c r="B371"/>
  <c r="B376"/>
  <c r="B380"/>
  <c r="B384"/>
  <c r="B388"/>
  <c r="B393"/>
  <c r="B397"/>
  <c r="B402"/>
  <c r="B406"/>
  <c r="B410"/>
  <c r="B414"/>
  <c r="B418"/>
  <c r="B423"/>
  <c r="B427"/>
  <c r="B431"/>
  <c r="B435"/>
  <c r="B439"/>
  <c r="B443"/>
  <c r="B447"/>
  <c r="B451"/>
  <c r="B456"/>
  <c r="B461"/>
  <c r="B465"/>
  <c r="B469"/>
  <c r="B473"/>
  <c r="B477"/>
  <c r="B481"/>
  <c r="B485"/>
  <c r="B490"/>
  <c r="B494"/>
  <c r="B498"/>
  <c r="B502"/>
  <c r="B506"/>
  <c r="B510"/>
  <c r="B515"/>
  <c r="B519"/>
  <c r="B523"/>
  <c r="B528"/>
  <c r="B532"/>
  <c r="B536"/>
  <c r="B540"/>
  <c r="B545"/>
  <c r="B549"/>
  <c r="B554"/>
  <c r="B558"/>
  <c r="B562"/>
  <c r="B566"/>
  <c r="B570"/>
  <c r="B575"/>
  <c r="B579"/>
  <c r="B583"/>
  <c r="B587"/>
  <c r="B591"/>
  <c r="B596"/>
  <c r="B600"/>
  <c r="B605"/>
  <c r="B609"/>
  <c r="B613"/>
  <c r="B617"/>
  <c r="B621"/>
  <c r="B626"/>
  <c r="B630"/>
  <c r="B4"/>
  <c r="B34"/>
  <c r="B42"/>
  <c r="B50"/>
  <c r="B58"/>
  <c r="B71"/>
  <c r="B75"/>
  <c r="B79"/>
  <c r="B93"/>
  <c r="B97"/>
  <c r="B105"/>
  <c r="B109"/>
  <c r="B118"/>
  <c r="B126"/>
  <c r="B134"/>
  <c r="B142"/>
  <c r="B167"/>
  <c r="B175"/>
  <c r="B179"/>
  <c r="B183"/>
  <c r="B198"/>
  <c r="B206"/>
  <c r="B214"/>
  <c r="B222"/>
  <c r="B232"/>
  <c r="B240"/>
  <c r="B248"/>
  <c r="B261"/>
  <c r="B269"/>
  <c r="B287"/>
  <c r="B295"/>
  <c r="B300"/>
  <c r="B308"/>
  <c r="B322"/>
  <c r="B327"/>
  <c r="B335"/>
  <c r="B339"/>
  <c r="B352"/>
  <c r="B361"/>
  <c r="B374"/>
  <c r="B382"/>
  <c r="B391"/>
  <c r="B400"/>
  <c r="B3"/>
  <c r="B37"/>
  <c r="B5"/>
  <c r="B10"/>
  <c r="B31"/>
  <c r="B35"/>
  <c r="B39"/>
  <c r="B43"/>
  <c r="B47"/>
  <c r="B51"/>
  <c r="B55"/>
  <c r="B60"/>
  <c r="B64"/>
  <c r="B68"/>
  <c r="B72"/>
  <c r="B76"/>
  <c r="B80"/>
  <c r="B90"/>
  <c r="B94"/>
  <c r="B98"/>
  <c r="B102"/>
  <c r="B106"/>
  <c r="B110"/>
  <c r="B114"/>
  <c r="B119"/>
  <c r="B123"/>
  <c r="B127"/>
  <c r="B131"/>
  <c r="B135"/>
  <c r="B139"/>
  <c r="B143"/>
  <c r="B147"/>
  <c r="B163"/>
  <c r="B168"/>
  <c r="B172"/>
  <c r="B176"/>
  <c r="B180"/>
  <c r="B184"/>
  <c r="B189"/>
  <c r="B194"/>
  <c r="B199"/>
  <c r="B203"/>
  <c r="B207"/>
  <c r="B211"/>
  <c r="B215"/>
  <c r="B219"/>
  <c r="B224"/>
  <c r="B229"/>
  <c r="B233"/>
  <c r="B237"/>
  <c r="B241"/>
  <c r="B245"/>
  <c r="B249"/>
  <c r="B254"/>
  <c r="B258"/>
  <c r="B262"/>
  <c r="B266"/>
  <c r="B270"/>
  <c r="B274"/>
  <c r="B279"/>
  <c r="B284"/>
  <c r="B288"/>
  <c r="B292"/>
  <c r="B296"/>
  <c r="B301"/>
  <c r="B305"/>
  <c r="B309"/>
  <c r="B314"/>
  <c r="B319"/>
  <c r="B323"/>
  <c r="B328"/>
  <c r="B332"/>
  <c r="B336"/>
  <c r="B340"/>
  <c r="B344"/>
  <c r="B349"/>
  <c r="B353"/>
  <c r="B357"/>
  <c r="B362"/>
  <c r="B366"/>
  <c r="B370"/>
  <c r="B375"/>
  <c r="B379"/>
  <c r="B383"/>
  <c r="B387"/>
  <c r="B392"/>
  <c r="B396"/>
  <c r="B401"/>
  <c r="B405"/>
  <c r="B409"/>
  <c r="B413"/>
  <c r="B417"/>
  <c r="B422"/>
  <c r="B426"/>
  <c r="B430"/>
  <c r="B434"/>
  <c r="B438"/>
  <c r="B442"/>
  <c r="B446"/>
  <c r="B450"/>
  <c r="B455"/>
  <c r="B459"/>
  <c r="B464"/>
  <c r="B468"/>
  <c r="B472"/>
  <c r="B476"/>
  <c r="B480"/>
  <c r="B484"/>
  <c r="B488"/>
  <c r="B493"/>
  <c r="B497"/>
  <c r="B501"/>
  <c r="B505"/>
  <c r="B509"/>
  <c r="B514"/>
  <c r="B518"/>
  <c r="B522"/>
  <c r="B527"/>
  <c r="B531"/>
  <c r="B535"/>
  <c r="B539"/>
  <c r="B544"/>
  <c r="B548"/>
  <c r="B553"/>
  <c r="B557"/>
  <c r="B561"/>
  <c r="B565"/>
  <c r="B569"/>
  <c r="B573"/>
  <c r="B578"/>
  <c r="B582"/>
  <c r="B586"/>
  <c r="B590"/>
  <c r="B595"/>
  <c r="B599"/>
  <c r="B603"/>
  <c r="B608"/>
  <c r="B612"/>
  <c r="B616"/>
  <c r="B620"/>
  <c r="B625"/>
  <c r="B2"/>
  <c r="C61"/>
  <c r="G61" s="1"/>
  <c r="C62" l="1"/>
  <c r="C63" l="1"/>
  <c r="G63" s="1"/>
  <c r="G62"/>
  <c r="C64" l="1"/>
  <c r="G64" s="1"/>
  <c r="C65" l="1"/>
  <c r="G65" s="1"/>
  <c r="C66" l="1"/>
  <c r="G66" s="1"/>
  <c r="C67" l="1"/>
  <c r="G67" s="1"/>
  <c r="C68" l="1"/>
  <c r="G68" s="1"/>
  <c r="C69" l="1"/>
  <c r="G69" s="1"/>
  <c r="C70" l="1"/>
  <c r="G70" s="1"/>
  <c r="C71" l="1"/>
  <c r="G71" s="1"/>
  <c r="C72" l="1"/>
  <c r="G72" s="1"/>
  <c r="C73" l="1"/>
  <c r="G73" s="1"/>
  <c r="C74" l="1"/>
  <c r="G74" s="1"/>
  <c r="C75" l="1"/>
  <c r="G75" s="1"/>
  <c r="C76" l="1"/>
  <c r="G76" s="1"/>
  <c r="C77" l="1"/>
  <c r="G77" s="1"/>
  <c r="C78" l="1"/>
  <c r="G78" s="1"/>
  <c r="C87"/>
  <c r="C79" l="1"/>
  <c r="G79" s="1"/>
  <c r="C80" l="1"/>
  <c r="G80" s="1"/>
  <c r="C88"/>
  <c r="G88" s="1"/>
  <c r="C89" l="1"/>
  <c r="G89" s="1"/>
  <c r="C90" l="1"/>
  <c r="G90" s="1"/>
  <c r="C91" l="1"/>
  <c r="G91" s="1"/>
  <c r="C92" l="1"/>
  <c r="G92" s="1"/>
  <c r="C93" l="1"/>
  <c r="G93" s="1"/>
  <c r="C94" l="1"/>
  <c r="G94" s="1"/>
  <c r="C95" l="1"/>
  <c r="G95" s="1"/>
  <c r="C96" l="1"/>
  <c r="G96" s="1"/>
  <c r="C97" l="1"/>
  <c r="G97" s="1"/>
  <c r="C98" l="1"/>
  <c r="G98" s="1"/>
  <c r="C99" l="1"/>
  <c r="G99" s="1"/>
  <c r="C100" l="1"/>
  <c r="G100" s="1"/>
  <c r="C101" l="1"/>
  <c r="G101" s="1"/>
  <c r="C102" l="1"/>
  <c r="G102" s="1"/>
  <c r="C103" l="1"/>
  <c r="G103" s="1"/>
  <c r="C104" l="1"/>
  <c r="G104" s="1"/>
  <c r="C105" l="1"/>
  <c r="G105" s="1"/>
  <c r="C106" l="1"/>
  <c r="G106" s="1"/>
  <c r="C107" l="1"/>
  <c r="G107" s="1"/>
  <c r="C108" l="1"/>
  <c r="G108" s="1"/>
  <c r="C109" l="1"/>
  <c r="G109" s="1"/>
  <c r="C110" l="1"/>
  <c r="G110" s="1"/>
  <c r="C111" l="1"/>
  <c r="G111" s="1"/>
  <c r="C112" l="1"/>
  <c r="G112" s="1"/>
  <c r="C113" l="1"/>
  <c r="G113" s="1"/>
  <c r="C114" l="1"/>
  <c r="G114" s="1"/>
  <c r="C116" l="1"/>
  <c r="C117" l="1"/>
  <c r="G117" s="1"/>
  <c r="C118" l="1"/>
  <c r="G118" s="1"/>
  <c r="C119" l="1"/>
  <c r="G119" s="1"/>
  <c r="C120" l="1"/>
  <c r="G120" s="1"/>
  <c r="C121" l="1"/>
  <c r="G121" s="1"/>
  <c r="C122" l="1"/>
  <c r="G122" s="1"/>
  <c r="C123" l="1"/>
  <c r="G123" s="1"/>
  <c r="C124" l="1"/>
  <c r="G124" s="1"/>
  <c r="C125" l="1"/>
  <c r="G125" s="1"/>
  <c r="C126" l="1"/>
  <c r="G126" s="1"/>
  <c r="C127" l="1"/>
  <c r="G127" s="1"/>
  <c r="C128" l="1"/>
  <c r="G128" s="1"/>
  <c r="C129" l="1"/>
  <c r="G129" s="1"/>
  <c r="C130" l="1"/>
  <c r="G130" s="1"/>
  <c r="C131" l="1"/>
  <c r="G131" s="1"/>
  <c r="C132" l="1"/>
  <c r="G132" s="1"/>
  <c r="C133" l="1"/>
  <c r="G133" s="1"/>
  <c r="C134" l="1"/>
  <c r="G134" s="1"/>
  <c r="C135" l="1"/>
  <c r="G135" s="1"/>
  <c r="C136" l="1"/>
  <c r="G136" s="1"/>
  <c r="C137" l="1"/>
  <c r="G137" s="1"/>
  <c r="C138" l="1"/>
  <c r="G138" s="1"/>
  <c r="C139" l="1"/>
  <c r="G139" s="1"/>
  <c r="C140" l="1"/>
  <c r="G140" s="1"/>
  <c r="C141" l="1"/>
  <c r="G141" s="1"/>
  <c r="C142" l="1"/>
  <c r="G142" s="1"/>
  <c r="C143" l="1"/>
  <c r="G143" s="1"/>
  <c r="C144" l="1"/>
  <c r="G144" s="1"/>
  <c r="C145" l="1"/>
  <c r="G145" s="1"/>
  <c r="C146" l="1"/>
  <c r="G146" s="1"/>
  <c r="C147" l="1"/>
  <c r="G147" s="1"/>
  <c r="C159" l="1"/>
  <c r="C160" l="1"/>
  <c r="G160" s="1"/>
  <c r="C161" l="1"/>
  <c r="G161" s="1"/>
  <c r="C162" l="1"/>
  <c r="G162" s="1"/>
  <c r="C163" l="1"/>
  <c r="G163" s="1"/>
  <c r="C165" l="1"/>
  <c r="A166" l="1"/>
  <c r="C166" s="1"/>
  <c r="G166" s="1"/>
  <c r="A167" l="1"/>
  <c r="C167" s="1"/>
  <c r="G167" s="1"/>
  <c r="A168" l="1"/>
  <c r="C168" s="1"/>
  <c r="G168" s="1"/>
  <c r="A169" l="1"/>
  <c r="C169" s="1"/>
  <c r="G169" s="1"/>
  <c r="A170" l="1"/>
  <c r="C170" s="1"/>
  <c r="G170" s="1"/>
  <c r="A171" l="1"/>
  <c r="C171" s="1"/>
  <c r="G171" s="1"/>
  <c r="A172" l="1"/>
  <c r="C172" s="1"/>
  <c r="G172" s="1"/>
  <c r="A173" l="1"/>
  <c r="C173" s="1"/>
  <c r="G173" s="1"/>
  <c r="A174" l="1"/>
  <c r="C174" s="1"/>
  <c r="G174" s="1"/>
  <c r="A175" l="1"/>
  <c r="C175" s="1"/>
  <c r="G175" s="1"/>
  <c r="A176" l="1"/>
  <c r="C176" s="1"/>
  <c r="G176" s="1"/>
  <c r="A177" l="1"/>
  <c r="C177" s="1"/>
  <c r="G177" s="1"/>
  <c r="A178" l="1"/>
  <c r="C178" s="1"/>
  <c r="G178" s="1"/>
  <c r="A179" l="1"/>
  <c r="C179" s="1"/>
  <c r="G179" s="1"/>
  <c r="A180" l="1"/>
  <c r="C180" s="1"/>
  <c r="G180" s="1"/>
  <c r="A181" l="1"/>
  <c r="C181" s="1"/>
  <c r="G181" s="1"/>
  <c r="A182" l="1"/>
  <c r="C182" s="1"/>
  <c r="G182" s="1"/>
  <c r="A183" l="1"/>
  <c r="C183" s="1"/>
  <c r="G183" s="1"/>
  <c r="A184" l="1"/>
  <c r="C184" l="1"/>
  <c r="G184" s="1"/>
  <c r="A185"/>
  <c r="G185" s="1"/>
  <c r="C624"/>
  <c r="A625" l="1"/>
  <c r="C625" s="1"/>
  <c r="C626" l="1"/>
  <c r="A627" l="1"/>
  <c r="C627" s="1"/>
  <c r="A628" l="1"/>
  <c r="C628" s="1"/>
  <c r="A629" l="1"/>
  <c r="C629" s="1"/>
  <c r="C229" l="1"/>
  <c r="A230" l="1"/>
  <c r="C230" s="1"/>
  <c r="G230" s="1"/>
  <c r="A231" l="1"/>
  <c r="C231" s="1"/>
  <c r="G231" s="1"/>
  <c r="A232" l="1"/>
  <c r="C232" s="1"/>
  <c r="G232" s="1"/>
  <c r="A233" l="1"/>
  <c r="C233" s="1"/>
  <c r="G233" s="1"/>
  <c r="A234" l="1"/>
  <c r="C234" s="1"/>
  <c r="G234" s="1"/>
  <c r="A235" l="1"/>
  <c r="C235" s="1"/>
  <c r="G235" s="1"/>
  <c r="A236" l="1"/>
  <c r="C236" s="1"/>
  <c r="G236" s="1"/>
  <c r="A237" l="1"/>
  <c r="C237" s="1"/>
  <c r="G237" s="1"/>
  <c r="A238" l="1"/>
  <c r="C238" s="1"/>
  <c r="G238" s="1"/>
  <c r="A239" l="1"/>
  <c r="C239" s="1"/>
  <c r="G239" s="1"/>
  <c r="A240" l="1"/>
  <c r="C240" s="1"/>
  <c r="G240" s="1"/>
  <c r="A241" l="1"/>
  <c r="C241" s="1"/>
  <c r="G241" s="1"/>
  <c r="A242" l="1"/>
  <c r="C242" s="1"/>
  <c r="G242" s="1"/>
  <c r="A243" l="1"/>
  <c r="C243" s="1"/>
  <c r="G243" s="1"/>
  <c r="A244" l="1"/>
  <c r="C244" s="1"/>
  <c r="G244" s="1"/>
  <c r="A245" l="1"/>
  <c r="C245" s="1"/>
  <c r="G245" s="1"/>
  <c r="A246" l="1"/>
  <c r="C246" s="1"/>
  <c r="G246" s="1"/>
  <c r="A247" l="1"/>
  <c r="C247" s="1"/>
  <c r="G247" s="1"/>
  <c r="A248" l="1"/>
  <c r="C248" s="1"/>
  <c r="G248" s="1"/>
  <c r="A249" l="1"/>
  <c r="C249" s="1"/>
  <c r="G249" s="1"/>
  <c r="A250" l="1"/>
  <c r="C250" s="1"/>
  <c r="G250" s="1"/>
  <c r="A251" l="1"/>
  <c r="C251" s="1"/>
  <c r="G251" s="1"/>
  <c r="A252" l="1"/>
  <c r="C252" l="1"/>
  <c r="G252" s="1"/>
  <c r="A253"/>
  <c r="G253" s="1"/>
  <c r="C254"/>
  <c r="A255" l="1"/>
  <c r="C255" s="1"/>
  <c r="G255" s="1"/>
  <c r="A256" l="1"/>
  <c r="C256" s="1"/>
  <c r="G256" s="1"/>
  <c r="A257" l="1"/>
  <c r="C257" s="1"/>
  <c r="G257" s="1"/>
  <c r="A258" l="1"/>
  <c r="C258" s="1"/>
  <c r="G258" s="1"/>
  <c r="A259" l="1"/>
  <c r="C259" s="1"/>
  <c r="G259" s="1"/>
  <c r="A260" l="1"/>
  <c r="C260" s="1"/>
  <c r="G260" s="1"/>
  <c r="A261" l="1"/>
  <c r="C261" s="1"/>
  <c r="G261" s="1"/>
  <c r="A262" l="1"/>
  <c r="C262" s="1"/>
  <c r="G262" s="1"/>
  <c r="A263" l="1"/>
  <c r="C263" s="1"/>
  <c r="G263" s="1"/>
  <c r="A264" l="1"/>
  <c r="C264" s="1"/>
  <c r="G264" s="1"/>
  <c r="A265" l="1"/>
  <c r="C265" s="1"/>
  <c r="G265" s="1"/>
  <c r="A266" l="1"/>
  <c r="C266" s="1"/>
  <c r="G266" s="1"/>
  <c r="A267" l="1"/>
  <c r="C267" s="1"/>
  <c r="G267" s="1"/>
  <c r="A268" l="1"/>
  <c r="C268" s="1"/>
  <c r="G268" s="1"/>
  <c r="A269" l="1"/>
  <c r="C269" s="1"/>
  <c r="G269" s="1"/>
  <c r="A270" l="1"/>
  <c r="C270" s="1"/>
  <c r="G270" s="1"/>
  <c r="A271" l="1"/>
  <c r="C271" s="1"/>
  <c r="G271" s="1"/>
  <c r="A272" l="1"/>
  <c r="C272" s="1"/>
  <c r="G272" s="1"/>
  <c r="A273" l="1"/>
  <c r="C273" s="1"/>
  <c r="G273" s="1"/>
  <c r="A274" l="1"/>
  <c r="C274" s="1"/>
  <c r="G274" s="1"/>
  <c r="A275" l="1"/>
  <c r="C275" s="1"/>
  <c r="G275" s="1"/>
  <c r="A276" l="1"/>
  <c r="C276" s="1"/>
  <c r="G276" s="1"/>
  <c r="A277" l="1"/>
  <c r="C277" l="1"/>
  <c r="G277" s="1"/>
  <c r="A278"/>
  <c r="G278" s="1"/>
  <c r="C319"/>
  <c r="A320" l="1"/>
  <c r="C320" s="1"/>
  <c r="G320" s="1"/>
  <c r="A321" l="1"/>
  <c r="C321" s="1"/>
  <c r="G321" s="1"/>
  <c r="A322" l="1"/>
  <c r="C322" s="1"/>
  <c r="G322" s="1"/>
  <c r="A323" l="1"/>
  <c r="C323" s="1"/>
  <c r="G323" s="1"/>
  <c r="A324" l="1"/>
  <c r="C324" s="1"/>
  <c r="G324" s="1"/>
  <c r="A325" l="1"/>
  <c r="C325" l="1"/>
  <c r="G325" s="1"/>
  <c r="A326"/>
  <c r="G326" s="1"/>
  <c r="C327"/>
  <c r="A328" l="1"/>
  <c r="C328" s="1"/>
  <c r="G328" s="1"/>
  <c r="A329" l="1"/>
  <c r="C329" s="1"/>
  <c r="G329" s="1"/>
  <c r="A330" l="1"/>
  <c r="C330" s="1"/>
  <c r="G330" s="1"/>
  <c r="A331" l="1"/>
  <c r="C331" s="1"/>
  <c r="G331" s="1"/>
  <c r="A332" l="1"/>
  <c r="C332" s="1"/>
  <c r="G332" s="1"/>
  <c r="A333" l="1"/>
  <c r="C333" s="1"/>
  <c r="G333" s="1"/>
  <c r="A334" l="1"/>
  <c r="C334" s="1"/>
  <c r="G334" s="1"/>
  <c r="A335" l="1"/>
  <c r="C335" s="1"/>
  <c r="G335" s="1"/>
  <c r="A336" l="1"/>
  <c r="C336" s="1"/>
  <c r="G336" s="1"/>
  <c r="A337" l="1"/>
  <c r="C337" s="1"/>
  <c r="G337" s="1"/>
  <c r="A338" l="1"/>
  <c r="C338" s="1"/>
  <c r="G338" s="1"/>
  <c r="A339" l="1"/>
  <c r="C339" s="1"/>
  <c r="G339" s="1"/>
  <c r="A340" l="1"/>
  <c r="C340" s="1"/>
  <c r="G340" s="1"/>
  <c r="A341" l="1"/>
  <c r="C341" s="1"/>
  <c r="G341" s="1"/>
  <c r="A342" l="1"/>
  <c r="C342" s="1"/>
  <c r="G342" s="1"/>
  <c r="A343" l="1"/>
  <c r="C343" s="1"/>
  <c r="G343" s="1"/>
  <c r="A344" l="1"/>
  <c r="C344" l="1"/>
  <c r="G344" s="1"/>
  <c r="A345"/>
  <c r="G345" s="1"/>
  <c r="C359"/>
  <c r="A360" l="1"/>
  <c r="C360" s="1"/>
  <c r="G360" s="1"/>
  <c r="A361" l="1"/>
  <c r="C361" s="1"/>
  <c r="G361" s="1"/>
  <c r="A362" l="1"/>
  <c r="C362" s="1"/>
  <c r="G362" s="1"/>
  <c r="A363" l="1"/>
  <c r="C363" s="1"/>
  <c r="G363" s="1"/>
  <c r="A364" l="1"/>
  <c r="C364" s="1"/>
  <c r="G364" s="1"/>
  <c r="A365" l="1"/>
  <c r="C365" s="1"/>
  <c r="G365" s="1"/>
  <c r="A366" l="1"/>
  <c r="C366" s="1"/>
  <c r="G366" s="1"/>
  <c r="A367" l="1"/>
  <c r="C367" s="1"/>
  <c r="G367" s="1"/>
  <c r="A368" l="1"/>
  <c r="C368" s="1"/>
  <c r="G368" s="1"/>
  <c r="A369" l="1"/>
  <c r="C369" s="1"/>
  <c r="G369" s="1"/>
  <c r="A370" l="1"/>
  <c r="C370" l="1"/>
  <c r="G370" s="1"/>
  <c r="A371"/>
  <c r="A372" s="1"/>
  <c r="G372" s="1"/>
  <c r="C373"/>
  <c r="C371" l="1"/>
  <c r="G371" s="1"/>
  <c r="A374"/>
  <c r="C374" s="1"/>
  <c r="G374" s="1"/>
  <c r="A375" l="1"/>
  <c r="C375" s="1"/>
  <c r="G375" s="1"/>
  <c r="A376" l="1"/>
  <c r="C376" s="1"/>
  <c r="G376" s="1"/>
  <c r="A377" l="1"/>
  <c r="C377" s="1"/>
  <c r="G377" s="1"/>
  <c r="A378" l="1"/>
  <c r="C378" s="1"/>
  <c r="G378" s="1"/>
  <c r="A379" l="1"/>
  <c r="C379" s="1"/>
  <c r="G379" s="1"/>
  <c r="A380" l="1"/>
  <c r="C380" s="1"/>
  <c r="G380" s="1"/>
  <c r="A381" l="1"/>
  <c r="C381" s="1"/>
  <c r="G381" s="1"/>
  <c r="A382" l="1"/>
  <c r="C382" s="1"/>
  <c r="G382" s="1"/>
  <c r="A383" l="1"/>
  <c r="C383" s="1"/>
  <c r="G383" s="1"/>
  <c r="A384" l="1"/>
  <c r="C384" s="1"/>
  <c r="G384" s="1"/>
  <c r="A385" l="1"/>
  <c r="C385" s="1"/>
  <c r="G385" s="1"/>
  <c r="A386" l="1"/>
  <c r="C386" s="1"/>
  <c r="G386" s="1"/>
  <c r="A387" l="1"/>
  <c r="C387" s="1"/>
  <c r="G387" s="1"/>
  <c r="A388" l="1"/>
  <c r="C388" l="1"/>
  <c r="G388" s="1"/>
  <c r="A389"/>
  <c r="G389" s="1"/>
  <c r="C630"/>
  <c r="A631" l="1"/>
  <c r="C631" s="1"/>
  <c r="C422" l="1"/>
  <c r="A423" l="1"/>
  <c r="C423" s="1"/>
  <c r="G423" s="1"/>
  <c r="A424" l="1"/>
  <c r="C424" s="1"/>
  <c r="G424" s="1"/>
  <c r="A425" l="1"/>
  <c r="C425" s="1"/>
  <c r="G425" s="1"/>
  <c r="A426" l="1"/>
  <c r="C426" s="1"/>
  <c r="G426" s="1"/>
  <c r="A427" l="1"/>
  <c r="C427" s="1"/>
  <c r="G427" s="1"/>
  <c r="A428" l="1"/>
  <c r="C428" s="1"/>
  <c r="G428" s="1"/>
  <c r="A429" l="1"/>
  <c r="C429" s="1"/>
  <c r="G429" s="1"/>
  <c r="A430" l="1"/>
  <c r="C430" s="1"/>
  <c r="G430" s="1"/>
  <c r="A431" l="1"/>
  <c r="C431" s="1"/>
  <c r="G431" s="1"/>
  <c r="A432" l="1"/>
  <c r="C432" s="1"/>
  <c r="G432" s="1"/>
  <c r="A433" l="1"/>
  <c r="C433" s="1"/>
  <c r="G433" s="1"/>
  <c r="A434" l="1"/>
  <c r="C434" s="1"/>
  <c r="G434" s="1"/>
  <c r="A435" l="1"/>
  <c r="C435" s="1"/>
  <c r="G435" s="1"/>
  <c r="A436" l="1"/>
  <c r="C436" s="1"/>
  <c r="G436" s="1"/>
  <c r="A437" l="1"/>
  <c r="C437" s="1"/>
  <c r="G437" s="1"/>
  <c r="A438" l="1"/>
  <c r="C438" s="1"/>
  <c r="G438" s="1"/>
  <c r="A439" l="1"/>
  <c r="C439" s="1"/>
  <c r="G439" s="1"/>
  <c r="A440" l="1"/>
  <c r="C440" s="1"/>
  <c r="G440" s="1"/>
  <c r="A441" l="1"/>
  <c r="C441" s="1"/>
  <c r="G441" s="1"/>
  <c r="A442" l="1"/>
  <c r="C442" s="1"/>
  <c r="G442" s="1"/>
  <c r="A443" l="1"/>
  <c r="C443" s="1"/>
  <c r="G443" s="1"/>
  <c r="A444" l="1"/>
  <c r="C444" s="1"/>
  <c r="G444" s="1"/>
  <c r="A445" l="1"/>
  <c r="C445" s="1"/>
  <c r="G445" s="1"/>
  <c r="A446" l="1"/>
  <c r="C446" s="1"/>
  <c r="G446" s="1"/>
  <c r="A447" l="1"/>
  <c r="C447" s="1"/>
  <c r="G447" s="1"/>
  <c r="A448" l="1"/>
  <c r="C448" s="1"/>
  <c r="G448" s="1"/>
  <c r="A449" l="1"/>
  <c r="C449" s="1"/>
  <c r="G449" s="1"/>
  <c r="A450" l="1"/>
  <c r="C450" s="1"/>
  <c r="G450" s="1"/>
  <c r="A451" l="1"/>
  <c r="C451" l="1"/>
  <c r="G451" s="1"/>
  <c r="A452"/>
  <c r="G452" s="1"/>
  <c r="C453"/>
  <c r="A454" l="1"/>
  <c r="C454" s="1"/>
  <c r="G454" s="1"/>
  <c r="A455" l="1"/>
  <c r="C455" s="1"/>
  <c r="G455" s="1"/>
  <c r="A456" l="1"/>
  <c r="C456" s="1"/>
  <c r="G456" s="1"/>
  <c r="A457" l="1"/>
  <c r="C457" s="1"/>
  <c r="G457" s="1"/>
  <c r="A458" l="1"/>
  <c r="C458" s="1"/>
  <c r="G458" s="1"/>
  <c r="A459" l="1"/>
  <c r="C459" l="1"/>
  <c r="G459" s="1"/>
  <c r="A460"/>
  <c r="G460" s="1"/>
  <c r="C461"/>
  <c r="A462" l="1"/>
  <c r="C462" s="1"/>
  <c r="G462" s="1"/>
  <c r="A463" l="1"/>
  <c r="C463" s="1"/>
  <c r="G463" s="1"/>
  <c r="A464" l="1"/>
  <c r="C464" s="1"/>
  <c r="G464" s="1"/>
  <c r="A465" l="1"/>
  <c r="C465" s="1"/>
  <c r="G465" s="1"/>
  <c r="A466" l="1"/>
  <c r="C466" s="1"/>
  <c r="G466" s="1"/>
  <c r="A467" l="1"/>
  <c r="C467" s="1"/>
  <c r="G467" s="1"/>
  <c r="A468" l="1"/>
  <c r="C468" s="1"/>
  <c r="G468" s="1"/>
  <c r="A469" l="1"/>
  <c r="C469" s="1"/>
  <c r="G469" s="1"/>
  <c r="A470" l="1"/>
  <c r="C470" s="1"/>
  <c r="G470" s="1"/>
  <c r="A471" l="1"/>
  <c r="C471" s="1"/>
  <c r="G471" s="1"/>
  <c r="A472" l="1"/>
  <c r="C472" s="1"/>
  <c r="G472" s="1"/>
  <c r="A473" l="1"/>
  <c r="C473" s="1"/>
  <c r="G473" s="1"/>
  <c r="A474" l="1"/>
  <c r="C474" s="1"/>
  <c r="G474" s="1"/>
  <c r="A475" l="1"/>
  <c r="C475" s="1"/>
  <c r="G475" s="1"/>
  <c r="A476" l="1"/>
  <c r="C476" s="1"/>
  <c r="G476" s="1"/>
  <c r="A477" l="1"/>
  <c r="C477" s="1"/>
  <c r="G477" s="1"/>
  <c r="A478" l="1"/>
  <c r="C478" s="1"/>
  <c r="G478" s="1"/>
  <c r="A479" l="1"/>
  <c r="C479" s="1"/>
  <c r="G479" s="1"/>
  <c r="A480" l="1"/>
  <c r="C480" s="1"/>
  <c r="G480" s="1"/>
  <c r="A481" l="1"/>
  <c r="C481" s="1"/>
  <c r="G481" s="1"/>
  <c r="A482" l="1"/>
  <c r="C482" s="1"/>
  <c r="G482" s="1"/>
  <c r="A483" l="1"/>
  <c r="C483" s="1"/>
  <c r="G483" s="1"/>
  <c r="A484" l="1"/>
  <c r="C484" s="1"/>
  <c r="G484" s="1"/>
  <c r="A485" l="1"/>
  <c r="C485" s="1"/>
  <c r="G485" s="1"/>
  <c r="A486" l="1"/>
  <c r="C486" s="1"/>
  <c r="G486" s="1"/>
  <c r="A487" l="1"/>
  <c r="C487" s="1"/>
  <c r="G487" s="1"/>
  <c r="A488" l="1"/>
  <c r="C488" l="1"/>
  <c r="G488" s="1"/>
  <c r="A489"/>
  <c r="G489" s="1"/>
  <c r="C490"/>
  <c r="A491" l="1"/>
  <c r="C491" s="1"/>
  <c r="G491" s="1"/>
  <c r="A492" l="1"/>
  <c r="C492" s="1"/>
  <c r="G492" s="1"/>
  <c r="A493" l="1"/>
  <c r="C493" s="1"/>
  <c r="G493" s="1"/>
  <c r="A494" l="1"/>
  <c r="C494" s="1"/>
  <c r="G494" s="1"/>
  <c r="A495" l="1"/>
  <c r="C495" s="1"/>
  <c r="G495" s="1"/>
  <c r="A496" l="1"/>
  <c r="C496" s="1"/>
  <c r="G496" s="1"/>
  <c r="A497" l="1"/>
  <c r="C497" s="1"/>
  <c r="G497" s="1"/>
  <c r="A498" l="1"/>
  <c r="C498" s="1"/>
  <c r="G498" s="1"/>
  <c r="A499" l="1"/>
  <c r="C499" s="1"/>
  <c r="G499" s="1"/>
  <c r="A500" l="1"/>
  <c r="C500" s="1"/>
  <c r="G500" s="1"/>
  <c r="A501" l="1"/>
  <c r="C501" s="1"/>
  <c r="G501" s="1"/>
  <c r="A502" l="1"/>
  <c r="C502" s="1"/>
  <c r="G502" s="1"/>
  <c r="A503" l="1"/>
  <c r="C503" s="1"/>
  <c r="G503" s="1"/>
  <c r="A504" l="1"/>
  <c r="C504" s="1"/>
  <c r="G504" s="1"/>
  <c r="A505" l="1"/>
  <c r="C505" s="1"/>
  <c r="G505" s="1"/>
  <c r="A506" l="1"/>
  <c r="C506" s="1"/>
  <c r="G506" s="1"/>
  <c r="A507" l="1"/>
  <c r="C507" s="1"/>
  <c r="G507" s="1"/>
  <c r="A508" l="1"/>
  <c r="C508" s="1"/>
  <c r="G508" s="1"/>
  <c r="A509" l="1"/>
  <c r="C509" s="1"/>
  <c r="G509" s="1"/>
  <c r="A510" l="1"/>
  <c r="C510" l="1"/>
  <c r="G510" s="1"/>
  <c r="A511"/>
  <c r="G511" s="1"/>
  <c r="A513"/>
  <c r="C513" s="1"/>
  <c r="G513" s="1"/>
  <c r="A514" l="1"/>
  <c r="C514" s="1"/>
  <c r="G514" s="1"/>
  <c r="A515" l="1"/>
  <c r="C515" s="1"/>
  <c r="G515" s="1"/>
  <c r="A516" l="1"/>
  <c r="C516" s="1"/>
  <c r="G516" s="1"/>
  <c r="A517" l="1"/>
  <c r="C517" s="1"/>
  <c r="G517" s="1"/>
  <c r="A518" l="1"/>
  <c r="C518" s="1"/>
  <c r="G518" s="1"/>
  <c r="A519" l="1"/>
  <c r="C519" s="1"/>
  <c r="G519" s="1"/>
  <c r="A520" l="1"/>
  <c r="C520" s="1"/>
  <c r="G520" s="1"/>
  <c r="A521" l="1"/>
  <c r="C521" s="1"/>
  <c r="G521" s="1"/>
  <c r="A522" l="1"/>
  <c r="C522" s="1"/>
  <c r="G522" s="1"/>
  <c r="A523" l="1"/>
  <c r="C523" s="1"/>
  <c r="G523" s="1"/>
  <c r="A524" l="1"/>
  <c r="C524" s="1"/>
  <c r="G524" s="1"/>
  <c r="A525" l="1"/>
  <c r="C525" l="1"/>
  <c r="G525" s="1"/>
  <c r="A526"/>
  <c r="G526" s="1"/>
  <c r="C551"/>
  <c r="A552" l="1"/>
  <c r="C552" s="1"/>
  <c r="G552" s="1"/>
  <c r="A553" l="1"/>
  <c r="C553" s="1"/>
  <c r="G553" s="1"/>
  <c r="A554" l="1"/>
  <c r="C554" s="1"/>
  <c r="G554" s="1"/>
  <c r="A555" l="1"/>
  <c r="C555" s="1"/>
  <c r="G555" s="1"/>
  <c r="A556" l="1"/>
  <c r="C556" s="1"/>
  <c r="G556" s="1"/>
  <c r="A557" l="1"/>
  <c r="C557" s="1"/>
  <c r="G557" s="1"/>
  <c r="A558" l="1"/>
  <c r="C558" s="1"/>
  <c r="G558" s="1"/>
  <c r="A559" l="1"/>
  <c r="C559" s="1"/>
  <c r="G559" s="1"/>
  <c r="A560" l="1"/>
  <c r="C560" s="1"/>
  <c r="G560" s="1"/>
  <c r="A561" l="1"/>
  <c r="C561" s="1"/>
  <c r="G561" s="1"/>
  <c r="A562" l="1"/>
  <c r="C562" s="1"/>
  <c r="G562" s="1"/>
  <c r="A563" l="1"/>
  <c r="C563" s="1"/>
  <c r="G563" s="1"/>
  <c r="A564" l="1"/>
  <c r="C564" s="1"/>
  <c r="G564" s="1"/>
  <c r="A565" l="1"/>
  <c r="C565" s="1"/>
  <c r="G565" s="1"/>
  <c r="A566" l="1"/>
  <c r="C566" s="1"/>
  <c r="G566" s="1"/>
  <c r="A567" l="1"/>
  <c r="C567" s="1"/>
  <c r="G567" s="1"/>
  <c r="A568" l="1"/>
  <c r="C568" s="1"/>
  <c r="G568" s="1"/>
  <c r="A569" l="1"/>
  <c r="C569" s="1"/>
  <c r="G569" s="1"/>
  <c r="A570" l="1"/>
  <c r="C570" s="1"/>
  <c r="G570" s="1"/>
  <c r="A571" l="1"/>
  <c r="C571" s="1"/>
  <c r="G571" s="1"/>
  <c r="A572" l="1"/>
  <c r="C572" s="1"/>
  <c r="G572" s="1"/>
  <c r="A573" l="1"/>
  <c r="C573" l="1"/>
  <c r="G573" s="1"/>
  <c r="A574"/>
  <c r="G574" s="1"/>
  <c r="C575"/>
  <c r="A576" l="1"/>
  <c r="C576" s="1"/>
  <c r="G576" s="1"/>
  <c r="A577" l="1"/>
  <c r="C577" s="1"/>
  <c r="G577" s="1"/>
  <c r="A578" l="1"/>
  <c r="C578" s="1"/>
  <c r="G578" s="1"/>
  <c r="A579" l="1"/>
  <c r="C579" s="1"/>
  <c r="G579" s="1"/>
  <c r="A580" l="1"/>
  <c r="C580" s="1"/>
  <c r="G580" s="1"/>
  <c r="A581" l="1"/>
  <c r="C581" s="1"/>
  <c r="G581" s="1"/>
  <c r="A582" l="1"/>
  <c r="C582" s="1"/>
  <c r="G582" s="1"/>
  <c r="A583" l="1"/>
  <c r="C583" s="1"/>
  <c r="G583" s="1"/>
  <c r="A584" l="1"/>
  <c r="C584" s="1"/>
  <c r="G584" s="1"/>
  <c r="A585" l="1"/>
  <c r="C585" s="1"/>
  <c r="G585" s="1"/>
  <c r="A586" l="1"/>
  <c r="C586" s="1"/>
  <c r="G586" s="1"/>
  <c r="A587" l="1"/>
  <c r="C587" s="1"/>
  <c r="G587" s="1"/>
  <c r="A588" l="1"/>
  <c r="C588" s="1"/>
  <c r="G588" s="1"/>
  <c r="A589" l="1"/>
  <c r="C589" s="1"/>
  <c r="G589" s="1"/>
  <c r="A590" l="1"/>
  <c r="C590" s="1"/>
  <c r="G590" s="1"/>
  <c r="A591" l="1"/>
  <c r="C591" s="1"/>
  <c r="G591" s="1"/>
  <c r="A592" l="1"/>
  <c r="C592" s="1"/>
  <c r="G592" s="1"/>
  <c r="A593" l="1"/>
  <c r="C593" l="1"/>
  <c r="G593" s="1"/>
  <c r="A594"/>
  <c r="G594" s="1"/>
  <c r="C605"/>
  <c r="A606" l="1"/>
  <c r="C606" s="1"/>
  <c r="G606" s="1"/>
  <c r="A607" l="1"/>
  <c r="C607" s="1"/>
  <c r="G607" s="1"/>
  <c r="A608" l="1"/>
  <c r="C608" s="1"/>
  <c r="G608" s="1"/>
  <c r="A609" l="1"/>
  <c r="C609" s="1"/>
  <c r="G609" s="1"/>
  <c r="A610" l="1"/>
  <c r="C610" s="1"/>
  <c r="G610" s="1"/>
  <c r="A611" l="1"/>
  <c r="C611" s="1"/>
  <c r="G611" s="1"/>
  <c r="A612" l="1"/>
  <c r="C612" s="1"/>
  <c r="G612" s="1"/>
  <c r="A613" l="1"/>
  <c r="C613" s="1"/>
  <c r="G613" s="1"/>
  <c r="A614" l="1"/>
  <c r="C614" s="1"/>
  <c r="G614" s="1"/>
  <c r="A615" l="1"/>
  <c r="C615" s="1"/>
  <c r="G615" s="1"/>
  <c r="A616" l="1"/>
  <c r="C616" s="1"/>
  <c r="G616" s="1"/>
  <c r="A617" l="1"/>
  <c r="C617" s="1"/>
  <c r="G617" s="1"/>
  <c r="A618" l="1"/>
  <c r="C618" s="1"/>
  <c r="G618" s="1"/>
  <c r="A619" l="1"/>
  <c r="C619" s="1"/>
  <c r="G619" s="1"/>
  <c r="A620" l="1"/>
  <c r="C620" s="1"/>
  <c r="G620" s="1"/>
  <c r="A621" l="1"/>
  <c r="C621" s="1"/>
  <c r="G621" s="1"/>
  <c r="A622" l="1"/>
  <c r="C622" l="1"/>
  <c r="G622" s="1"/>
  <c r="A623"/>
  <c r="G623" s="1"/>
</calcChain>
</file>

<file path=xl/comments1.xml><?xml version="1.0" encoding="utf-8"?>
<comments xmlns="http://schemas.openxmlformats.org/spreadsheetml/2006/main">
  <authors>
    <author>Preben V. Jøhnke</author>
  </authors>
  <commentList>
    <comment ref="G66" authorId="0">
      <text>
        <r>
          <rPr>
            <b/>
            <sz val="9"/>
            <color indexed="81"/>
            <rFont val="Tahoma"/>
            <family val="2"/>
          </rPr>
          <t>Plus i Feltnavn  ?</t>
        </r>
      </text>
    </comment>
    <comment ref="E371" authorId="0">
      <text>
        <r>
          <rPr>
            <b/>
            <sz val="9"/>
            <color indexed="81"/>
            <rFont val="Tahoma"/>
            <family val="2"/>
          </rPr>
          <t>Fundet PVJO</t>
        </r>
      </text>
    </comment>
  </commentList>
</comments>
</file>

<file path=xl/sharedStrings.xml><?xml version="1.0" encoding="utf-8"?>
<sst xmlns="http://schemas.openxmlformats.org/spreadsheetml/2006/main" count="4802" uniqueCount="1187">
  <si>
    <t>Container-dat</t>
  </si>
  <si>
    <t>Location</t>
  </si>
  <si>
    <t>Storage Date</t>
  </si>
  <si>
    <t>Audit Time</t>
  </si>
  <si>
    <t>Audit Ref</t>
  </si>
  <si>
    <t>Weight</t>
  </si>
  <si>
    <t>Height</t>
  </si>
  <si>
    <t>Weight Status</t>
  </si>
  <si>
    <t>Height Status</t>
  </si>
  <si>
    <t>Container Id</t>
  </si>
  <si>
    <t>Container Type</t>
  </si>
  <si>
    <t>Holding Container</t>
  </si>
  <si>
    <t>Audit Status</t>
  </si>
  <si>
    <t>Wrapped</t>
  </si>
  <si>
    <t>Labelled</t>
  </si>
  <si>
    <t>Last Move User</t>
  </si>
  <si>
    <t>Picked</t>
  </si>
  <si>
    <t>Temperature</t>
  </si>
  <si>
    <t>Profile Status</t>
  </si>
  <si>
    <t>Container Status</t>
  </si>
  <si>
    <t>Last Allocated Time</t>
  </si>
  <si>
    <t>Full Status</t>
  </si>
  <si>
    <t>Orientation</t>
  </si>
  <si>
    <t>Bitmap</t>
  </si>
  <si>
    <t>Pick Group</t>
  </si>
  <si>
    <t>Relocations</t>
  </si>
  <si>
    <t>Width</t>
  </si>
  <si>
    <t>Length</t>
  </si>
  <si>
    <t>Seq</t>
  </si>
  <si>
    <t>Carrier</t>
  </si>
  <si>
    <t>Name 1</t>
  </si>
  <si>
    <t>Name 2</t>
  </si>
  <si>
    <t>Address</t>
  </si>
  <si>
    <t>Zip + Town</t>
  </si>
  <si>
    <t>Package No</t>
  </si>
  <si>
    <t>Route</t>
  </si>
  <si>
    <t>Sales Company ID</t>
  </si>
  <si>
    <t>Order Type</t>
  </si>
  <si>
    <t>Zip Code Area</t>
  </si>
  <si>
    <t>Sales Order Num</t>
  </si>
  <si>
    <t>Order Number</t>
  </si>
  <si>
    <t>Date</t>
  </si>
  <si>
    <t>Despatch Remarks</t>
  </si>
  <si>
    <t>Remarks</t>
  </si>
  <si>
    <t>COD Text</t>
  </si>
  <si>
    <t>Shipping Code</t>
  </si>
  <si>
    <t>Shipping Code Text</t>
  </si>
  <si>
    <t>NORDAGER3</t>
  </si>
  <si>
    <t>Lemvigh-Müller - afhenter</t>
  </si>
  <si>
    <t>anvendes ifm kundeafhentning</t>
  </si>
  <si>
    <t>Nordager 3</t>
  </si>
  <si>
    <t>6000        Kolding</t>
  </si>
  <si>
    <t>01</t>
  </si>
  <si>
    <t/>
  </si>
  <si>
    <t>PORT</t>
  </si>
  <si>
    <t>0614541737</t>
  </si>
  <si>
    <t>13-May-2016 07:17:27</t>
  </si>
  <si>
    <t>00357075410081969162</t>
  </si>
  <si>
    <t>0614547056</t>
  </si>
  <si>
    <t>13-May-2016 07:18:17</t>
  </si>
  <si>
    <t>00357075410081969179</t>
  </si>
  <si>
    <t>DAG</t>
  </si>
  <si>
    <t>Brdr. Anker</t>
  </si>
  <si>
    <t>Østergade 28</t>
  </si>
  <si>
    <t>3790        Hasle</t>
  </si>
  <si>
    <t>07</t>
  </si>
  <si>
    <t>BORN</t>
  </si>
  <si>
    <t>0614556408</t>
  </si>
  <si>
    <t>13-May-2016 07:21:59</t>
  </si>
  <si>
    <t>00357075410081969186</t>
  </si>
  <si>
    <t>0614528394</t>
  </si>
  <si>
    <t>13-May-2016 07:30:12</t>
  </si>
  <si>
    <t>00357075410081969193</t>
  </si>
  <si>
    <t>VEST</t>
  </si>
  <si>
    <t>32</t>
  </si>
  <si>
    <t>ODE</t>
  </si>
  <si>
    <t>NAT</t>
  </si>
  <si>
    <t>07664630045DK</t>
  </si>
  <si>
    <t>35</t>
  </si>
  <si>
    <t>THIS</t>
  </si>
  <si>
    <t>0614556426</t>
  </si>
  <si>
    <t>0614556439</t>
  </si>
  <si>
    <t>0614556452</t>
  </si>
  <si>
    <t>NORD</t>
  </si>
  <si>
    <t>30</t>
  </si>
  <si>
    <t>.</t>
  </si>
  <si>
    <t>37</t>
  </si>
  <si>
    <t>49</t>
  </si>
  <si>
    <t>RETUR-LEV</t>
  </si>
  <si>
    <t>LEV</t>
  </si>
  <si>
    <t>RET</t>
  </si>
  <si>
    <t>0614556410</t>
  </si>
  <si>
    <t>CC</t>
  </si>
  <si>
    <t>13-May-2016 15:59:28</t>
  </si>
  <si>
    <t>Customer_label-dat</t>
  </si>
  <si>
    <t>Item Code</t>
  </si>
  <si>
    <t>Client Code</t>
  </si>
  <si>
    <t>Item Conf</t>
  </si>
  <si>
    <t>Description</t>
  </si>
  <si>
    <t>Sub Conf</t>
  </si>
  <si>
    <t>Sub Factor</t>
  </si>
  <si>
    <t>Barcode</t>
  </si>
  <si>
    <t>Gros Wt Tol Pos</t>
  </si>
  <si>
    <t>Gross Wt Tol Neg</t>
  </si>
  <si>
    <t>Gross Wt</t>
  </si>
  <si>
    <t>Max Stack Wt</t>
  </si>
  <si>
    <t>Min Stack Area</t>
  </si>
  <si>
    <t>Inv Check Lev</t>
  </si>
  <si>
    <t>Item Vol</t>
  </si>
  <si>
    <t>Velocity Code</t>
  </si>
  <si>
    <t>Vacuum Code</t>
  </si>
  <si>
    <t>Serial Num Reqd</t>
  </si>
  <si>
    <t>New Item</t>
  </si>
  <si>
    <t>Stackability</t>
  </si>
  <si>
    <t>Net Weight</t>
  </si>
  <si>
    <t>Measure Qty</t>
  </si>
  <si>
    <t>Barcode 2</t>
  </si>
  <si>
    <t>Barcode 3</t>
  </si>
  <si>
    <t>Barcode 4</t>
  </si>
  <si>
    <t>Item_conf-dat</t>
  </si>
  <si>
    <t>Result</t>
  </si>
  <si>
    <t>Min Refill1</t>
  </si>
  <si>
    <t>Max Refill1</t>
  </si>
  <si>
    <t>Min Refill2</t>
  </si>
  <si>
    <t>Max Refill2</t>
  </si>
  <si>
    <t>QA Type</t>
  </si>
  <si>
    <t>Recpt Max Diff</t>
  </si>
  <si>
    <t>Certificate</t>
  </si>
  <si>
    <t>Precision</t>
  </si>
  <si>
    <t>Used For Hotel</t>
  </si>
  <si>
    <t>General Cargo</t>
  </si>
  <si>
    <t>Count In Box</t>
  </si>
  <si>
    <t>Count Of Box</t>
  </si>
  <si>
    <t>Pallet Height</t>
  </si>
  <si>
    <t>Storage Area</t>
  </si>
  <si>
    <t>Handling Text</t>
  </si>
  <si>
    <t>Storage Type1</t>
  </si>
  <si>
    <t>Storage Type2</t>
  </si>
  <si>
    <t>Base Unit Vol</t>
  </si>
  <si>
    <t>QA Text</t>
  </si>
  <si>
    <t>Text Diff</t>
  </si>
  <si>
    <t>Base Weight Unit</t>
  </si>
  <si>
    <t>Base Length Unit</t>
  </si>
  <si>
    <t>Operator</t>
  </si>
  <si>
    <t>Special</t>
  </si>
  <si>
    <t>User Guide</t>
  </si>
  <si>
    <t>Dangerous</t>
  </si>
  <si>
    <t>Days Count</t>
  </si>
  <si>
    <t>Item_ext-dat</t>
  </si>
  <si>
    <t>Brand Code</t>
  </si>
  <si>
    <t>Shelf Life</t>
  </si>
  <si>
    <t>Alc by Vol</t>
  </si>
  <si>
    <t>Duty Code</t>
  </si>
  <si>
    <t>Segregation Code</t>
  </si>
  <si>
    <t>Item_dat</t>
  </si>
  <si>
    <t>Sequence Number</t>
  </si>
  <si>
    <t>SSCC</t>
  </si>
  <si>
    <t>Lmg_sscc-dat</t>
  </si>
  <si>
    <t>Error Time</t>
  </si>
  <si>
    <t>x</t>
  </si>
  <si>
    <t>y</t>
  </si>
  <si>
    <t>z</t>
  </si>
  <si>
    <t>Error Status</t>
  </si>
  <si>
    <t>Type</t>
  </si>
  <si>
    <t>Status</t>
  </si>
  <si>
    <t>Picking</t>
  </si>
  <si>
    <t>Check Digits</t>
  </si>
  <si>
    <t>Depth</t>
  </si>
  <si>
    <t>Pi checked</t>
  </si>
  <si>
    <t>Posn Checked</t>
  </si>
  <si>
    <t>Location-dat</t>
  </si>
  <si>
    <t>Mat0088</t>
  </si>
  <si>
    <t>Materiale</t>
  </si>
  <si>
    <t>Positionstypegruppe</t>
  </si>
  <si>
    <t>Leverende fabrik</t>
  </si>
  <si>
    <t>Materiale-type</t>
  </si>
  <si>
    <t>Orig Source</t>
  </si>
  <si>
    <t>Source</t>
  </si>
  <si>
    <t>Destination</t>
  </si>
  <si>
    <t>Final Dest</t>
  </si>
  <si>
    <t>MHE</t>
  </si>
  <si>
    <t>Create Time</t>
  </si>
  <si>
    <t>Active Time</t>
  </si>
  <si>
    <t>Stage Time</t>
  </si>
  <si>
    <t>Reason</t>
  </si>
  <si>
    <t>Priority</t>
  </si>
  <si>
    <t>Tx Flag</t>
  </si>
  <si>
    <t>Group</t>
  </si>
  <si>
    <t>Stage</t>
  </si>
  <si>
    <t>Category</t>
  </si>
  <si>
    <t>Aisle</t>
  </si>
  <si>
    <t>Handler</t>
  </si>
  <si>
    <t>Orig Priority</t>
  </si>
  <si>
    <t>Mission</t>
  </si>
  <si>
    <t>Wave</t>
  </si>
  <si>
    <t>Load</t>
  </si>
  <si>
    <t>Load Part</t>
  </si>
  <si>
    <t>Movements-dat</t>
  </si>
  <si>
    <t>His ID</t>
  </si>
  <si>
    <t>Job Type</t>
  </si>
  <si>
    <t>Timestamp</t>
  </si>
  <si>
    <t>Time Usage</t>
  </si>
  <si>
    <t>Operator ID</t>
  </si>
  <si>
    <t>Zone</t>
  </si>
  <si>
    <t>From Location</t>
  </si>
  <si>
    <t>Via Location</t>
  </si>
  <si>
    <t>To Location</t>
  </si>
  <si>
    <t>Order ID</t>
  </si>
  <si>
    <t>Alloc Ref</t>
  </si>
  <si>
    <t>Line No</t>
  </si>
  <si>
    <t>From Container</t>
  </si>
  <si>
    <t>To Container</t>
  </si>
  <si>
    <t>From Qty Before</t>
  </si>
  <si>
    <t>From Qty After</t>
  </si>
  <si>
    <t>To Qty Before</t>
  </si>
  <si>
    <t>To Qty After</t>
  </si>
  <si>
    <t>ML03R-085DB</t>
  </si>
  <si>
    <t>ML02L-082NB</t>
  </si>
  <si>
    <t>ML11L-010KF</t>
  </si>
  <si>
    <t>ML11R-055JF</t>
  </si>
  <si>
    <t>ML05R-088FB</t>
  </si>
  <si>
    <t>18-Dec-2013 11:28:35</t>
  </si>
  <si>
    <t>8-Mar-2016 12:40:28</t>
  </si>
  <si>
    <t>12-May-2016 14:54:17</t>
  </si>
  <si>
    <t>11-Apr-2016 10:34:19</t>
  </si>
  <si>
    <t>4-Aug-2015 13:38:52</t>
  </si>
  <si>
    <t>4-Dec-2013 17:26:44</t>
  </si>
  <si>
    <t>15-Feb-2016 10:03:37</t>
  </si>
  <si>
    <t>21-Mar-2016 14:16:51</t>
  </si>
  <si>
    <t>31-Mar-2016 16:00:46</t>
  </si>
  <si>
    <t>4-Aug-2015 13:21:26</t>
  </si>
  <si>
    <t>0</t>
  </si>
  <si>
    <t>C</t>
  </si>
  <si>
    <t>M</t>
  </si>
  <si>
    <t>0000007</t>
  </si>
  <si>
    <t>0000008</t>
  </si>
  <si>
    <t>0000010</t>
  </si>
  <si>
    <t>0000012</t>
  </si>
  <si>
    <t>0000013</t>
  </si>
  <si>
    <t>MS-11</t>
  </si>
  <si>
    <t>MS-21</t>
  </si>
  <si>
    <t>N</t>
  </si>
  <si>
    <t>BIRGIT M JENSEN</t>
  </si>
  <si>
    <t>VIKAR TEAM 1-1</t>
  </si>
  <si>
    <t>VIKAR TEAM 1-3</t>
  </si>
  <si>
    <t>KIRSTEN VESTERGAARD</t>
  </si>
  <si>
    <t>VIBEKE JESPERSEN</t>
  </si>
  <si>
    <t>B</t>
  </si>
  <si>
    <t>00000000</t>
  </si>
  <si>
    <t>18-Dec-2013 07:56:00</t>
  </si>
  <si>
    <t>7-Mar-2016 15:41:37</t>
  </si>
  <si>
    <t>12-May-2016 14:26:45</t>
  </si>
  <si>
    <t>21-May-2014 14:56:46</t>
  </si>
  <si>
    <t>3-Aug-2015 14:05:31</t>
  </si>
  <si>
    <t>000001103</t>
  </si>
  <si>
    <t>000001104</t>
  </si>
  <si>
    <t>LMGWMS01</t>
  </si>
  <si>
    <t>STK</t>
  </si>
  <si>
    <t>7611205100032</t>
  </si>
  <si>
    <t>7611205100049</t>
  </si>
  <si>
    <t>X1</t>
  </si>
  <si>
    <t>TOTE-RCPT</t>
  </si>
  <si>
    <t>000001106</t>
  </si>
  <si>
    <t>000001108</t>
  </si>
  <si>
    <t>000001110</t>
  </si>
  <si>
    <t>BØJN 90° S LANG M/N 3/8</t>
  </si>
  <si>
    <t>BØJN 90° S LANG M/N 1/2</t>
  </si>
  <si>
    <t>BØJN 90° S LANG M/N 3/4</t>
  </si>
  <si>
    <t>BØJN 90° S LANG M/N 1</t>
  </si>
  <si>
    <t>BØJN 90° S LANG M/N 1 1/4</t>
  </si>
  <si>
    <t>7611205100063</t>
  </si>
  <si>
    <t>7611205100070</t>
  </si>
  <si>
    <t>7611205100087</t>
  </si>
  <si>
    <t>Y1</t>
  </si>
  <si>
    <t>Z1</t>
  </si>
  <si>
    <t>2000004--A</t>
  </si>
  <si>
    <t>2000005--A</t>
  </si>
  <si>
    <t>2000005--B</t>
  </si>
  <si>
    <t>2000005--C</t>
  </si>
  <si>
    <t>2211086--A</t>
  </si>
  <si>
    <t>357075410081981515</t>
  </si>
  <si>
    <t>357075410081983854</t>
  </si>
  <si>
    <t>357075410082004831</t>
  </si>
  <si>
    <t>357075410082004848</t>
  </si>
  <si>
    <t>BADAREA</t>
  </si>
  <si>
    <t>MINILOAD</t>
  </si>
  <si>
    <t>ML01L-001AB</t>
  </si>
  <si>
    <t>ML01L-001AF</t>
  </si>
  <si>
    <t>ML01L-001BB</t>
  </si>
  <si>
    <t>ML01L-001BF</t>
  </si>
  <si>
    <t>1-Jan-1970 01:00:00</t>
  </si>
  <si>
    <t>4-Dec-2000 23:29:00</t>
  </si>
  <si>
    <t>4-Dec-2000 23:29:01</t>
  </si>
  <si>
    <t>4-Dec-2000 23:29:02</t>
  </si>
  <si>
    <t>4-Dec-2000 23:29:03</t>
  </si>
  <si>
    <t>4-Dec-2000 23:29:04</t>
  </si>
  <si>
    <t>..</t>
  </si>
  <si>
    <t>AA</t>
  </si>
  <si>
    <t>U</t>
  </si>
  <si>
    <t>....</t>
  </si>
  <si>
    <t>000001101</t>
  </si>
  <si>
    <t>000001102</t>
  </si>
  <si>
    <t>000001111</t>
  </si>
  <si>
    <t>ZLAG</t>
  </si>
  <si>
    <t>0088</t>
  </si>
  <si>
    <t>ELEVATOR-SEL</t>
  </si>
  <si>
    <t>ML04L-001KB</t>
  </si>
  <si>
    <t>ML12-PICK</t>
  </si>
  <si>
    <t>ML08-PICK</t>
  </si>
  <si>
    <t>PICK-SEL-09</t>
  </si>
  <si>
    <t>ML04-PICK</t>
  </si>
  <si>
    <t>TOTE-ARRIVAL</t>
  </si>
  <si>
    <t>TO-PACKING</t>
  </si>
  <si>
    <t>ML-OP04</t>
  </si>
  <si>
    <t>ML-LOOP-IN</t>
  </si>
  <si>
    <t>PICK-SEL-12</t>
  </si>
  <si>
    <t>ML-OP-ID02</t>
  </si>
  <si>
    <t>ML-IP-ID01</t>
  </si>
  <si>
    <t>HAZARD-SEL</t>
  </si>
  <si>
    <t>PSEL-LIFT</t>
  </si>
  <si>
    <t>ML-IP-ID03</t>
  </si>
  <si>
    <t>TOTE-INFEED</t>
  </si>
  <si>
    <t>DESP-GRID</t>
  </si>
  <si>
    <t>TOTE-RCPTRET</t>
  </si>
  <si>
    <t>ML02L-038DB</t>
  </si>
  <si>
    <t>TOTE-REJECT</t>
  </si>
  <si>
    <t>ML09R-015GF</t>
  </si>
  <si>
    <t>BADMHE</t>
  </si>
  <si>
    <t>TOTE-CNV1</t>
  </si>
  <si>
    <t>1-Dec-2015 12:57:16</t>
  </si>
  <si>
    <t>29-Apr-2016 17:08:46</t>
  </si>
  <si>
    <t>10-May-2016 12:36:09</t>
  </si>
  <si>
    <t>11-May-2016 17:52:59</t>
  </si>
  <si>
    <t>12-May-2016 18:33:24</t>
  </si>
  <si>
    <t>8-Feb-2016 15:42:32</t>
  </si>
  <si>
    <t>13-May-2016 13:43:45</t>
  </si>
  <si>
    <t>1-Dec-2015 12:57:21</t>
  </si>
  <si>
    <t>29-Apr-2016 17:17:30</t>
  </si>
  <si>
    <t>11-May-2016 17:56:38</t>
  </si>
  <si>
    <t>12-May-2016 18:34:03</t>
  </si>
  <si>
    <t>13-May-2016 13:43:46</t>
  </si>
  <si>
    <t>0020808</t>
  </si>
  <si>
    <t>0026921</t>
  </si>
  <si>
    <t>0046125</t>
  </si>
  <si>
    <t>0069761</t>
  </si>
  <si>
    <t>0074253</t>
  </si>
  <si>
    <t>1008993</t>
  </si>
  <si>
    <t>RJMV</t>
  </si>
  <si>
    <t>EMAU</t>
  </si>
  <si>
    <t>RCMV</t>
  </si>
  <si>
    <t>CVMV</t>
  </si>
  <si>
    <t>PICK</t>
  </si>
  <si>
    <t>13-May-2016 06:05:32</t>
  </si>
  <si>
    <t>13-May-2016 06:05:37</t>
  </si>
  <si>
    <t>13-May-2016 06:06:02</t>
  </si>
  <si>
    <t>13-May-2016 06:06:07</t>
  </si>
  <si>
    <t>13-May-2016 06:06:12</t>
  </si>
  <si>
    <t>13-May-2016 06:06:55</t>
  </si>
  <si>
    <t>ANNETTE NIELSEN</t>
  </si>
  <si>
    <t>300151</t>
  </si>
  <si>
    <t>300352</t>
  </si>
  <si>
    <t>303641</t>
  </si>
  <si>
    <t>614556410</t>
  </si>
  <si>
    <t>614556426</t>
  </si>
  <si>
    <t>614556452</t>
  </si>
  <si>
    <t>614556439</t>
  </si>
  <si>
    <t>5285901</t>
  </si>
  <si>
    <t>5285945</t>
  </si>
  <si>
    <t>5286073</t>
  </si>
  <si>
    <t>5286000</t>
  </si>
  <si>
    <t>5285941</t>
  </si>
  <si>
    <t>5286002</t>
  </si>
  <si>
    <t>7701902104</t>
  </si>
  <si>
    <t>722193604</t>
  </si>
  <si>
    <t>7737729440</t>
  </si>
  <si>
    <t>LM000991393</t>
  </si>
  <si>
    <t>LM001012087</t>
  </si>
  <si>
    <t>LM001019088</t>
  </si>
  <si>
    <t>PK001887222</t>
  </si>
  <si>
    <t>BATP</t>
  </si>
  <si>
    <t>operator_event-dat</t>
  </si>
  <si>
    <t>000001112</t>
  </si>
  <si>
    <t>Last Update Time</t>
  </si>
  <si>
    <t>1-May-2016 00:00:08</t>
  </si>
  <si>
    <t>1-May-2016 00:00:04</t>
  </si>
  <si>
    <t>1-May-2016 00:00:14</t>
  </si>
  <si>
    <t>1-May-2016 00:00:21</t>
  </si>
  <si>
    <t>1-May-2016 00:00:32</t>
  </si>
  <si>
    <t>Month1</t>
  </si>
  <si>
    <t>Month2</t>
  </si>
  <si>
    <t>Month3</t>
  </si>
  <si>
    <t>pick_count-dat</t>
  </si>
  <si>
    <t>5285693</t>
  </si>
  <si>
    <t>5291467</t>
  </si>
  <si>
    <t>5289587</t>
  </si>
  <si>
    <t>5284948</t>
  </si>
  <si>
    <t>5292875</t>
  </si>
  <si>
    <t>5292670</t>
  </si>
  <si>
    <t>5292558</t>
  </si>
  <si>
    <t>5289738</t>
  </si>
  <si>
    <t>Sub Group</t>
  </si>
  <si>
    <t>FLT</t>
  </si>
  <si>
    <t>Sequence No</t>
  </si>
  <si>
    <t>633612</t>
  </si>
  <si>
    <t>LM000902086</t>
  </si>
  <si>
    <t>LM000919461</t>
  </si>
  <si>
    <t>LM000936737</t>
  </si>
  <si>
    <t>LM000959863</t>
  </si>
  <si>
    <t>LM000964109</t>
  </si>
  <si>
    <t>LM000965700</t>
  </si>
  <si>
    <t>LM000970649</t>
  </si>
  <si>
    <t>Build Order</t>
  </si>
  <si>
    <t>Creation Time</t>
  </si>
  <si>
    <t>13-May-2016 02:07:04</t>
  </si>
  <si>
    <t>13-May-2016 13:45:44</t>
  </si>
  <si>
    <t>13-May-2016 11:19:11</t>
  </si>
  <si>
    <t>13-May-2016 02:06:10</t>
  </si>
  <si>
    <t>13-May-2016 17:45:45</t>
  </si>
  <si>
    <t>13-May-2016 15:25:39</t>
  </si>
  <si>
    <t>13-May-2016 11:34:14</t>
  </si>
  <si>
    <t>Dest Container</t>
  </si>
  <si>
    <t>Orig Source Zone</t>
  </si>
  <si>
    <t>Pick Zone</t>
  </si>
  <si>
    <t>Pick Type</t>
  </si>
  <si>
    <t>Pick Category</t>
  </si>
  <si>
    <t>REPL</t>
  </si>
  <si>
    <t>Hold Reason</t>
  </si>
  <si>
    <t>pick_req-dat</t>
  </si>
  <si>
    <t>Container Identity</t>
  </si>
  <si>
    <t>0000018</t>
  </si>
  <si>
    <t>0000076</t>
  </si>
  <si>
    <t>0000181</t>
  </si>
  <si>
    <t>0000239</t>
  </si>
  <si>
    <t>0000316</t>
  </si>
  <si>
    <t>0000401</t>
  </si>
  <si>
    <t>0000517</t>
  </si>
  <si>
    <t>Seq no</t>
  </si>
  <si>
    <t>Dest Locn</t>
  </si>
  <si>
    <t>....................</t>
  </si>
  <si>
    <t>Quantity</t>
  </si>
  <si>
    <t>4-May-2016 11:14:02</t>
  </si>
  <si>
    <t>4-May-2016 13:26:04</t>
  </si>
  <si>
    <t>29-Apr-2016 12:28:08</t>
  </si>
  <si>
    <t>11-May-2016 11:41:34</t>
  </si>
  <si>
    <t>13-May-2016 11:54:21</t>
  </si>
  <si>
    <t>9-May-2016 12:26:59</t>
  </si>
  <si>
    <t>9-May-2016 10:47:46</t>
  </si>
  <si>
    <t>Dest Cont Type</t>
  </si>
  <si>
    <t>putaway-dat</t>
  </si>
  <si>
    <t>Zone Id</t>
  </si>
  <si>
    <t>1</t>
  </si>
  <si>
    <t>Current Qty</t>
  </si>
  <si>
    <t>Required Qty</t>
  </si>
  <si>
    <t>Minimum Qty</t>
  </si>
  <si>
    <t>Maximum Qty</t>
  </si>
  <si>
    <t>Below Minimum</t>
  </si>
  <si>
    <t>Qty Procent</t>
  </si>
  <si>
    <t>AllocRef</t>
  </si>
  <si>
    <t>5285042</t>
  </si>
  <si>
    <t>Start Location</t>
  </si>
  <si>
    <t>End Location</t>
  </si>
  <si>
    <t>403222100</t>
  </si>
  <si>
    <t>4440610080</t>
  </si>
  <si>
    <t>4440610150</t>
  </si>
  <si>
    <t>4440610151</t>
  </si>
  <si>
    <t>4460900911</t>
  </si>
  <si>
    <t>738136004</t>
  </si>
  <si>
    <t>000090104</t>
  </si>
  <si>
    <t>PAK</t>
  </si>
  <si>
    <t>RUL</t>
  </si>
  <si>
    <t>replen_qty-dat</t>
  </si>
  <si>
    <t>Sap-materialer</t>
  </si>
  <si>
    <t>587507</t>
  </si>
  <si>
    <t>4254424</t>
  </si>
  <si>
    <t>4254613</t>
  </si>
  <si>
    <t>4254668</t>
  </si>
  <si>
    <t>4254716</t>
  </si>
  <si>
    <t>4254811</t>
  </si>
  <si>
    <t>Request Date</t>
  </si>
  <si>
    <t>18-Mar-2014 08:55:14</t>
  </si>
  <si>
    <t>1-Dec-2015 04:52:00</t>
  </si>
  <si>
    <t>1-Dec-2015 04:52:51</t>
  </si>
  <si>
    <t>1-Dec-2015 04:52:56</t>
  </si>
  <si>
    <t>1-Dec-2015 04:53:16</t>
  </si>
  <si>
    <t>1-Dec-2015 04:53:27</t>
  </si>
  <si>
    <t>Alloc Qty</t>
  </si>
  <si>
    <t>Reqd Qty</t>
  </si>
  <si>
    <t>Min Rotation Date</t>
  </si>
  <si>
    <t>1-Jan-1970</t>
  </si>
  <si>
    <t>Max Rotation Date</t>
  </si>
  <si>
    <t>18-Mar-2014</t>
  </si>
  <si>
    <t>1-Dec-2015</t>
  </si>
  <si>
    <t>Date Num</t>
  </si>
  <si>
    <t>Rotate priority</t>
  </si>
  <si>
    <t>Zone priority</t>
  </si>
  <si>
    <t>Status priority</t>
  </si>
  <si>
    <t>Prefer Zone1</t>
  </si>
  <si>
    <t>Prefer Zone2</t>
  </si>
  <si>
    <t>Prefer Zone3</t>
  </si>
  <si>
    <t>Prefer Zone4</t>
  </si>
  <si>
    <t>Prefer Zone5</t>
  </si>
  <si>
    <t>Max Batches</t>
  </si>
  <si>
    <t>Height restrict</t>
  </si>
  <si>
    <t>Weight restrict</t>
  </si>
  <si>
    <t>p</t>
  </si>
  <si>
    <t>Required Status</t>
  </si>
  <si>
    <t>................</t>
  </si>
  <si>
    <t>Allowed Status</t>
  </si>
  <si>
    <t>            ....</t>
  </si>
  <si>
    <t>Prefer Status</t>
  </si>
  <si>
    <t>Less Prefer Status</t>
  </si>
  <si>
    <t>stock_req-dat</t>
  </si>
  <si>
    <t>Rotation Date</t>
  </si>
  <si>
    <t>000581014</t>
  </si>
  <si>
    <t>013270103</t>
  </si>
  <si>
    <t>016534003</t>
  </si>
  <si>
    <t>042940018</t>
  </si>
  <si>
    <t>Batch Ref</t>
  </si>
  <si>
    <t>stock_spread-dat</t>
  </si>
  <si>
    <t>0000015</t>
  </si>
  <si>
    <t>0000016</t>
  </si>
  <si>
    <t>0000019</t>
  </si>
  <si>
    <t>Rotation 0</t>
  </si>
  <si>
    <t>11-Feb-2016</t>
  </si>
  <si>
    <t>18-Mar-2016</t>
  </si>
  <si>
    <t>2-Sep-2013</t>
  </si>
  <si>
    <t>8-Feb-2016</t>
  </si>
  <si>
    <t>13-Mar-2015</t>
  </si>
  <si>
    <t>2-May-2016</t>
  </si>
  <si>
    <t>2-Oct-2015</t>
  </si>
  <si>
    <t>Rotation 1</t>
  </si>
  <si>
    <t>Rotation 2</t>
  </si>
  <si>
    <t>Rotation 3</t>
  </si>
  <si>
    <t>00000000000000000000000000000000</t>
  </si>
  <si>
    <t>403571004</t>
  </si>
  <si>
    <t>072260050</t>
  </si>
  <si>
    <t>018536234</t>
  </si>
  <si>
    <t>3731603234</t>
  </si>
  <si>
    <t>9048246103</t>
  </si>
  <si>
    <t>2050410070</t>
  </si>
  <si>
    <t>2460908000</t>
  </si>
  <si>
    <t>NO CERTIFICATE ENTERED</t>
  </si>
  <si>
    <t>Bond Ref</t>
  </si>
  <si>
    <t>4500342394</t>
  </si>
  <si>
    <t>4500221081</t>
  </si>
  <si>
    <t>4000589695</t>
  </si>
  <si>
    <t>4500320186</t>
  </si>
  <si>
    <t>Time Created</t>
  </si>
  <si>
    <t>18-Apr-2016 14:11:17</t>
  </si>
  <si>
    <t>28-Apr-2015 04:53:07</t>
  </si>
  <si>
    <t>5-Oct-2015 17:40:57</t>
  </si>
  <si>
    <t>Time Received</t>
  </si>
  <si>
    <t>11-Feb-2016 09:05:18</t>
  </si>
  <si>
    <t>18-Mar-2016 10:49:01</t>
  </si>
  <si>
    <t>2-Sep-2013 14:58:56</t>
  </si>
  <si>
    <t>8-Feb-2016 13:27:58</t>
  </si>
  <si>
    <t>13-Mar-2015 14:30:14</t>
  </si>
  <si>
    <t>2-May-2016 08:13:50</t>
  </si>
  <si>
    <t>2-Oct-2015 14:01:35</t>
  </si>
  <si>
    <t>Time Picked</t>
  </si>
  <si>
    <t>Time Assambled</t>
  </si>
  <si>
    <t>Time Loaded</t>
  </si>
  <si>
    <t>Receipt Ref</t>
  </si>
  <si>
    <t>165000106725</t>
  </si>
  <si>
    <t>165000209131</t>
  </si>
  <si>
    <t>135000494872</t>
  </si>
  <si>
    <t>165000097327</t>
  </si>
  <si>
    <t>154000589695</t>
  </si>
  <si>
    <t>165000307039</t>
  </si>
  <si>
    <t>155000698003</t>
  </si>
  <si>
    <t>Receipt Line</t>
  </si>
  <si>
    <t>Pending Dealloc Flag</t>
  </si>
  <si>
    <t>Comp</t>
  </si>
  <si>
    <t>Serial Number</t>
  </si>
  <si>
    <t>Original Item Conf</t>
  </si>
  <si>
    <t>Country of Origin</t>
  </si>
  <si>
    <t>Country of Manfctre</t>
  </si>
  <si>
    <t>stock-dat</t>
  </si>
  <si>
    <t>003343887</t>
  </si>
  <si>
    <t>003344488</t>
  </si>
  <si>
    <t>003344687</t>
  </si>
  <si>
    <t>614326276</t>
  </si>
  <si>
    <t>614326277</t>
  </si>
  <si>
    <t>614326278</t>
  </si>
  <si>
    <t>614326279</t>
  </si>
  <si>
    <t>Supply Type</t>
  </si>
  <si>
    <t>Sales Order Number</t>
  </si>
  <si>
    <t>4800004525</t>
  </si>
  <si>
    <t>4800004516</t>
  </si>
  <si>
    <t>4800004512</t>
  </si>
  <si>
    <t>0412516937</t>
  </si>
  <si>
    <t>0412517032</t>
  </si>
  <si>
    <t>0412518291</t>
  </si>
  <si>
    <t>0412526037</t>
  </si>
  <si>
    <t>Shipping Type</t>
  </si>
  <si>
    <t>E</t>
  </si>
  <si>
    <t>Delivery In Total</t>
  </si>
  <si>
    <t>Sales Company Address</t>
  </si>
  <si>
    <t>External Partner Address</t>
  </si>
  <si>
    <t>Remark1</t>
  </si>
  <si>
    <t>Remark2</t>
  </si>
  <si>
    <t>TAVLEAFD-HENRIK BO</t>
  </si>
  <si>
    <t>Receiver Name</t>
  </si>
  <si>
    <t>Receiver Phone</t>
  </si>
  <si>
    <t>Pick Text</t>
  </si>
  <si>
    <t>Dist Info1</t>
  </si>
  <si>
    <t>Dist Info2</t>
  </si>
  <si>
    <t>supply-dat</t>
  </si>
  <si>
    <t>Username</t>
  </si>
  <si>
    <t>ALLAN ALANI</t>
  </si>
  <si>
    <t>ANDERS SORENSEN</t>
  </si>
  <si>
    <t>ANETTE HJORT</t>
  </si>
  <si>
    <t>ANITA JENSEN</t>
  </si>
  <si>
    <t>ANNE-LEAH A D TVILUM</t>
  </si>
  <si>
    <t>AXEL SCHMIDT</t>
  </si>
  <si>
    <t>Sequence</t>
  </si>
  <si>
    <t>Password</t>
  </si>
  <si>
    <t>0x9e616e59</t>
  </si>
  <si>
    <t>0xefb24246</t>
  </si>
  <si>
    <t>0x3af9028d</t>
  </si>
  <si>
    <t>0x1dd89fdf</t>
  </si>
  <si>
    <t>0xab1d0450</t>
  </si>
  <si>
    <t>0x157e5a3f</t>
  </si>
  <si>
    <t>0x25a6d1ff</t>
  </si>
  <si>
    <t>Profile</t>
  </si>
  <si>
    <t>TEAM-04-K</t>
  </si>
  <si>
    <t>TEAM-04-BASIS</t>
  </si>
  <si>
    <t>TEAM-06-C</t>
  </si>
  <si>
    <t>TEAM-04</t>
  </si>
  <si>
    <t>TEAM-01</t>
  </si>
  <si>
    <t>TEAM-08</t>
  </si>
  <si>
    <t>Expiry date</t>
  </si>
  <si>
    <t>6-Aug-2016 12:26:17</t>
  </si>
  <si>
    <t>3-Jun-2018 06:21:06</t>
  </si>
  <si>
    <t>24-Nov-2018 08:46:54</t>
  </si>
  <si>
    <t>17-Sep-2018 11:02:47</t>
  </si>
  <si>
    <t>17-Nov-2018 09:40:07</t>
  </si>
  <si>
    <t>27-Sep-2017 12:45:20</t>
  </si>
  <si>
    <t>11-Sep-2017 12:39:41</t>
  </si>
  <si>
    <t>Timeout</t>
  </si>
  <si>
    <t>Action</t>
  </si>
  <si>
    <t>USER</t>
  </si>
  <si>
    <t>Pwd life</t>
  </si>
  <si>
    <t>Options</t>
  </si>
  <si>
    <t>Shortcut</t>
  </si>
  <si>
    <t>ALAL</t>
  </si>
  <si>
    <t>ANSR</t>
  </si>
  <si>
    <t>ANHJ</t>
  </si>
  <si>
    <t>ANIJ</t>
  </si>
  <si>
    <t>AADT</t>
  </si>
  <si>
    <t>ANNI</t>
  </si>
  <si>
    <t>AXSC</t>
  </si>
  <si>
    <t>Locale</t>
  </si>
  <si>
    <t>da</t>
  </si>
  <si>
    <t>users-dat</t>
  </si>
  <si>
    <t>003297328</t>
  </si>
  <si>
    <t>Line</t>
  </si>
  <si>
    <t>R</t>
  </si>
  <si>
    <t>5224629</t>
  </si>
  <si>
    <t>5224630</t>
  </si>
  <si>
    <t>5224631</t>
  </si>
  <si>
    <t>5224632</t>
  </si>
  <si>
    <t>5224633</t>
  </si>
  <si>
    <t>Expected</t>
  </si>
  <si>
    <t>Actual</t>
  </si>
  <si>
    <t>Receipt</t>
  </si>
  <si>
    <t>OLRP Sent</t>
  </si>
  <si>
    <t>Cont Group</t>
  </si>
  <si>
    <t>4028000004</t>
  </si>
  <si>
    <t>4028000026</t>
  </si>
  <si>
    <t>4028000036</t>
  </si>
  <si>
    <t>4028000590</t>
  </si>
  <si>
    <t>4028000866</t>
  </si>
  <si>
    <t>Code Number</t>
  </si>
  <si>
    <t>Text</t>
  </si>
  <si>
    <t>Purchase Order</t>
  </si>
  <si>
    <t>Blocked</t>
  </si>
  <si>
    <t>Status to Host</t>
  </si>
  <si>
    <t>Hostname</t>
  </si>
  <si>
    <t>Allow Force</t>
  </si>
  <si>
    <t>Each Alloc Ref</t>
  </si>
  <si>
    <t>Alt Unit</t>
  </si>
  <si>
    <t>Alt Count</t>
  </si>
  <si>
    <t>wms_order_line-dat</t>
  </si>
  <si>
    <t>164000952813</t>
  </si>
  <si>
    <t>164000952861</t>
  </si>
  <si>
    <t>164000952942</t>
  </si>
  <si>
    <t>164000952970</t>
  </si>
  <si>
    <t>164000953167</t>
  </si>
  <si>
    <t>164000953209</t>
  </si>
  <si>
    <t>P</t>
  </si>
  <si>
    <t>Lines</t>
  </si>
  <si>
    <t>Created</t>
  </si>
  <si>
    <t>29-Apr-2016 10:41:04</t>
  </si>
  <si>
    <t>29-Apr-2016 10:45:01</t>
  </si>
  <si>
    <t>29-Apr-2016 10:52:04</t>
  </si>
  <si>
    <t>29-Apr-2016 10:55:01</t>
  </si>
  <si>
    <t>29-Apr-2016 11:09:03</t>
  </si>
  <si>
    <t>29-Apr-2016 11:13:00</t>
  </si>
  <si>
    <t>4000952813</t>
  </si>
  <si>
    <t>4000952861</t>
  </si>
  <si>
    <t>4000952942</t>
  </si>
  <si>
    <t>4000952970</t>
  </si>
  <si>
    <t>4000953167</t>
  </si>
  <si>
    <t>4000953209</t>
  </si>
  <si>
    <t>Del Note ID</t>
  </si>
  <si>
    <t>0614468701</t>
  </si>
  <si>
    <t>0614454523</t>
  </si>
  <si>
    <t>0614456526</t>
  </si>
  <si>
    <t>0614448552</t>
  </si>
  <si>
    <t>0614440771</t>
  </si>
  <si>
    <t>0614427992</t>
  </si>
  <si>
    <t>Ref Text</t>
  </si>
  <si>
    <t>Test text 545387</t>
  </si>
  <si>
    <t>WSDKLM70461</t>
  </si>
  <si>
    <t>WSDKLM70465</t>
  </si>
  <si>
    <t>WSDKLM70460</t>
  </si>
  <si>
    <t>WSDKLM70463</t>
  </si>
  <si>
    <t>Boxes</t>
  </si>
  <si>
    <t>Pallets</t>
  </si>
  <si>
    <t>Workstation</t>
  </si>
  <si>
    <t>FORCED</t>
  </si>
  <si>
    <t>Print Required</t>
  </si>
  <si>
    <t>wms_order-dat</t>
  </si>
  <si>
    <t>Creation Date</t>
  </si>
  <si>
    <t>19-Mar-2002</t>
  </si>
  <si>
    <t>17-Oct-2003</t>
  </si>
  <si>
    <t>3-Jun-2002</t>
  </si>
  <si>
    <t>Miniload</t>
  </si>
  <si>
    <t>Miniload Input</t>
  </si>
  <si>
    <t>Miniload Output</t>
  </si>
  <si>
    <t>Miniload Pick Stn</t>
  </si>
  <si>
    <t>Receipts</t>
  </si>
  <si>
    <t>ZONE 11</t>
  </si>
  <si>
    <t>Hazardous</t>
  </si>
  <si>
    <t>Type Module</t>
  </si>
  <si>
    <t>lmg_miniload_zone.so</t>
  </si>
  <si>
    <t>conveyor_pd_zone.so</t>
  </si>
  <si>
    <t>block_stack_zone.so</t>
  </si>
  <si>
    <t>put_to_stock_zone.so</t>
  </si>
  <si>
    <t>rack_zone.so</t>
  </si>
  <si>
    <t>Select Module</t>
  </si>
  <si>
    <t>reject_select.so</t>
  </si>
  <si>
    <t>putaway_select.so</t>
  </si>
  <si>
    <t>Generic Text</t>
  </si>
  <si>
    <t>MINILOAD-IP</t>
  </si>
  <si>
    <t>MINILOAD-OP</t>
  </si>
  <si>
    <t>ML-PICK</t>
  </si>
  <si>
    <t>RECEIPTS</t>
  </si>
  <si>
    <t>ZONE-11</t>
  </si>
  <si>
    <t>HAZARD</t>
  </si>
  <si>
    <t>Template Text</t>
  </si>
  <si>
    <t>ML...-.....</t>
  </si>
  <si>
    <t>ML-IP...</t>
  </si>
  <si>
    <t>ML-OP..</t>
  </si>
  <si>
    <t>ML..-PICK</t>
  </si>
  <si>
    <t>RECEIPTS-..</t>
  </si>
  <si>
    <t>......</t>
  </si>
  <si>
    <t>Fixed Text</t>
  </si>
  <si>
    <t>LRBF</t>
  </si>
  <si>
    <t>FB</t>
  </si>
  <si>
    <t>Num Coords</t>
  </si>
  <si>
    <t>Stock Spread</t>
  </si>
  <si>
    <t>00000001</t>
  </si>
  <si>
    <t>Pickup Bitmap</t>
  </si>
  <si>
    <t>Putdown Bitmap</t>
  </si>
  <si>
    <t>Mv Fin Module</t>
  </si>
  <si>
    <t>miniload_move_finished.so</t>
  </si>
  <si>
    <t>none_move_finished.so</t>
  </si>
  <si>
    <t>reject_move_finished.so</t>
  </si>
  <si>
    <t>project_send_pupp.so</t>
  </si>
  <si>
    <t>replen_move_finished.so</t>
  </si>
  <si>
    <t>Usage Bitmap</t>
  </si>
  <si>
    <t>00000007</t>
  </si>
  <si>
    <t>00000003</t>
  </si>
  <si>
    <t>zones-dat</t>
  </si>
  <si>
    <t>Tabels</t>
  </si>
  <si>
    <t>Kol</t>
  </si>
  <si>
    <t>Tæl</t>
  </si>
  <si>
    <t>==================================================================</t>
  </si>
  <si>
    <t>&gt;&gt; Hent 2016-09-12.cmd</t>
  </si>
  <si>
    <t>@ECHO OFF</t>
  </si>
  <si>
    <t xml:space="preserve"> ECHO.</t>
  </si>
  <si>
    <t xml:space="preserve"> ECHO * * * * * * * * * * * * * * * * * * * * * *</t>
  </si>
  <si>
    <t xml:space="preserve"> ECHO *                                         *</t>
  </si>
  <si>
    <t xml:space="preserve"> ECHO *         WCS-Kolding 2016-09-12          *</t>
  </si>
  <si>
    <t xml:space="preserve"> ECHO *  START ALT.BAT - Luk viduet ved fortryd *</t>
  </si>
  <si>
    <t xml:space="preserve"> PAUSE</t>
  </si>
  <si>
    <t>@ECHO ON</t>
  </si>
  <si>
    <t>CLS</t>
  </si>
  <si>
    <t>P:</t>
  </si>
  <si>
    <t>CD\arbejde-temp\wcs\wcs-data</t>
  </si>
  <si>
    <t>Call alt.bat 2016-9-12</t>
  </si>
  <si>
    <t>&gt;&gt; alt.bat</t>
  </si>
  <si>
    <t>cd kopi</t>
  </si>
  <si>
    <t>call kopier %1</t>
  </si>
  <si>
    <t>call omdob %1</t>
  </si>
  <si>
    <t>call opdater %1</t>
  </si>
  <si>
    <t>call slet %1</t>
  </si>
  <si>
    <t>cd ..</t>
  </si>
  <si>
    <t>&gt;&gt; kopier.bat</t>
  </si>
  <si>
    <t>mkdir %1</t>
  </si>
  <si>
    <t>cd %1</t>
  </si>
  <si>
    <t>copy \\fadkkol01\wms$\wms_ckol\Extract\%1\*.*</t>
  </si>
  <si>
    <t>cd ..\kopi</t>
  </si>
  <si>
    <t>&gt;&gt; omdob.bat</t>
  </si>
  <si>
    <t>rename alarms.dat.extract alarms-dat.txt</t>
  </si>
  <si>
    <t>rename cont_size.dat.extract cont_size-dat.txt</t>
  </si>
  <si>
    <t>rename cont_type.dat.extract cont_type-dat.txt</t>
  </si>
  <si>
    <t>rename container.dat.extract container-dat.txt</t>
  </si>
  <si>
    <t>rename customer_label.dat.extract customer_label-dat.txt</t>
  </si>
  <si>
    <t>rename empty_container.dat.extract empty_container-dat.txt</t>
  </si>
  <si>
    <t>rename item.dat.extract item-dat.txt</t>
  </si>
  <si>
    <t>rename item_conf.dat.extract item_conf-dat.txt</t>
  </si>
  <si>
    <t>rename item_ext.dat.extract item_ext-dat.txt</t>
  </si>
  <si>
    <t>rename lmg_sscc.dat.extract lmg_sscc-dat.txt</t>
  </si>
  <si>
    <t>rename location.dat.extract location-dat.txt</t>
  </si>
  <si>
    <t>rename mhe_errors.dat.extract mhe_errors-dat.txt</t>
  </si>
  <si>
    <t>rename mhe_error_desc.dat.extract mhe_error_desc-dat.txt</t>
  </si>
  <si>
    <t>rename mhe_event.dat.extract mhe_event-dat.txt</t>
  </si>
  <si>
    <t>rename mhe_info.dat.extract mhe_info-dat.txt</t>
  </si>
  <si>
    <t>rename movements.dat.extract movements-dat.txt</t>
  </si>
  <si>
    <t>rename operator_event.dat.extract operator_event-dat.txt</t>
  </si>
  <si>
    <t>rename params.dat.extract params-dat.txt</t>
  </si>
  <si>
    <t>rename partner_address.dat.extract partner_address-dat.txt</t>
  </si>
  <si>
    <t>rename partner_info.dat.extract partner_info-dat.txt</t>
  </si>
  <si>
    <t>rename pick_category.dat.extract pick_category-dat.txt</t>
  </si>
  <si>
    <t>rename pick_count.dat.extract pick_count-dat.txt</t>
  </si>
  <si>
    <t>rename pick_req.dat.extract pick_req-dat.txt</t>
  </si>
  <si>
    <t>rename putaway.dat.extract putaway-dat.txt</t>
  </si>
  <si>
    <t>rename replen_qty.dat.extract replen_qty-dat.txt</t>
  </si>
  <si>
    <t>rename stock_assembly.dat.extract stock_assembly-dat.txt</t>
  </si>
  <si>
    <t>rename stock_req2.dat.extract stock_req2-dat.txt</t>
  </si>
  <si>
    <t>rename stock_req.dat.extract stock_req-dat.txt</t>
  </si>
  <si>
    <t>rename stock_spread.dat.extract stock_spread-dat.txt</t>
  </si>
  <si>
    <t>rename stock.dat.extract stock-dat.txt</t>
  </si>
  <si>
    <t>rename supply.dat.extract supply-dat.txt</t>
  </si>
  <si>
    <t>rename users.dat.extract users-dat.txt</t>
  </si>
  <si>
    <t>rename wcs_alloc_priority.dat.extract wcs_alloc_priority-dat.txt</t>
  </si>
  <si>
    <t>rename wcs_alloc_zone.dat.extract wcs_alloc_zone-dat.txt</t>
  </si>
  <si>
    <t>rename wms_order.dat.extract wms_order-dat.txt</t>
  </si>
  <si>
    <t>rename wms_order_line.dat.extract wms_order_line-dat.txt</t>
  </si>
  <si>
    <t>rename workstation.dat.extract workstation-dat.txt</t>
  </si>
  <si>
    <t>rename zones.dat.extract zones-dat.txt</t>
  </si>
  <si>
    <t>&gt;&gt; opdater.bat</t>
  </si>
  <si>
    <t>copy *.* ..\nu\ /Y</t>
  </si>
  <si>
    <t>&gt;&gt; slet.bat</t>
  </si>
  <si>
    <t>del %1\*.*</t>
  </si>
  <si>
    <t>rmdir %1</t>
  </si>
  <si>
    <t>\\fadkkol01\wms$\wms_ckol\Extract\</t>
  </si>
  <si>
    <t>\\fadkkol01\wms$\wms_ckol\Extract\2016-9-11\</t>
  </si>
  <si>
    <t>WCS Filer klar kl. 3.00</t>
  </si>
  <si>
    <t>alarms.dat.extract</t>
  </si>
  <si>
    <t>cont_size.dat.extract</t>
  </si>
  <si>
    <t>cont_type.dat.extract</t>
  </si>
  <si>
    <t>container.dat.extract</t>
  </si>
  <si>
    <t>customer_label.dat.extract</t>
  </si>
  <si>
    <t>empty_container.dat.extract</t>
  </si>
  <si>
    <t>item.dat.extract</t>
  </si>
  <si>
    <t>item_conf.dat.extract</t>
  </si>
  <si>
    <t>item_ext.dat.extract</t>
  </si>
  <si>
    <t>lmg_sscc.dat.extract</t>
  </si>
  <si>
    <t>location.dat.extract</t>
  </si>
  <si>
    <t>mhe_error_desc.dat.extract</t>
  </si>
  <si>
    <t>mhe_errors.dat.extract</t>
  </si>
  <si>
    <t>mhe_event.dat.extract</t>
  </si>
  <si>
    <t>mhe_info.dat.extract</t>
  </si>
  <si>
    <t>move_job_desc.dat.extract</t>
  </si>
  <si>
    <t>movements.dat.extract</t>
  </si>
  <si>
    <t>operator_event.dat.extract</t>
  </si>
  <si>
    <t>params.dat.extract</t>
  </si>
  <si>
    <t>partner_address.dat.extract</t>
  </si>
  <si>
    <t>partner_info.dat.extract</t>
  </si>
  <si>
    <t>pick_category.dat.extract</t>
  </si>
  <si>
    <t>pick_count.dat.extract</t>
  </si>
  <si>
    <t>pick_req.dat.extract</t>
  </si>
  <si>
    <t>psm_data.dat.extract</t>
  </si>
  <si>
    <t>putaway.dat.extract</t>
  </si>
  <si>
    <t>replen_qty.dat.extract</t>
  </si>
  <si>
    <t>stock.dat.extract</t>
  </si>
  <si>
    <t>stock_assembly.dat.extract</t>
  </si>
  <si>
    <t>stock_req.dat.extract</t>
  </si>
  <si>
    <t>stock_req2.dat.extract</t>
  </si>
  <si>
    <t>users.dat.extract</t>
  </si>
  <si>
    <t>wms_order_line.dat.extract</t>
  </si>
  <si>
    <t>stock_spread.dat.extract</t>
  </si>
  <si>
    <t>supply.dat.extract</t>
  </si>
  <si>
    <t>wcs_alloc_priority.dat.extract</t>
  </si>
  <si>
    <t>wcs_alloc_zone_wt.dat.extract</t>
  </si>
  <si>
    <t>wms_order.dat.extract</t>
  </si>
  <si>
    <t>workstation.dat.extract</t>
  </si>
  <si>
    <t>zones.dat.extract</t>
  </si>
  <si>
    <t>\\fadkkol01\wms$\wms_ckol\Extract\2016-9-12\</t>
  </si>
  <si>
    <t>Størrelse</t>
  </si>
  <si>
    <t>Dato og Tid</t>
  </si>
  <si>
    <t>wcs_alloc_zone.dat.extract</t>
  </si>
  <si>
    <t>Test</t>
  </si>
  <si>
    <t>Fanenavn</t>
  </si>
  <si>
    <t>omdob.bat</t>
  </si>
  <si>
    <t>Udskift</t>
  </si>
  <si>
    <t>rename move_job_desc.dat.extract move_job_desc.dat.txt</t>
  </si>
  <si>
    <t>rename psm_data.dat.extract psm_data.dat.txt</t>
  </si>
  <si>
    <t>rename wcs_alloc_zone_wt.dat.extract wcs_alloc_zone_wt.dat.txt</t>
  </si>
  <si>
    <t>Nye</t>
  </si>
  <si>
    <t>smallint</t>
  </si>
  <si>
    <t>varchar(1)</t>
  </si>
  <si>
    <t>int</t>
  </si>
  <si>
    <t>Int</t>
  </si>
  <si>
    <t>varchar(5)</t>
  </si>
  <si>
    <t>varchar(20)</t>
  </si>
  <si>
    <t>BOX-L</t>
  </si>
  <si>
    <t>L</t>
  </si>
  <si>
    <t xml:space="preserve"> </t>
  </si>
  <si>
    <t xml:space="preserve">Stor hylde kasse    </t>
  </si>
  <si>
    <t>SHELF</t>
  </si>
  <si>
    <t>BOX-S</t>
  </si>
  <si>
    <t xml:space="preserve">Lille hylde kasse   </t>
  </si>
  <si>
    <t>DESPL</t>
  </si>
  <si>
    <t>S</t>
  </si>
  <si>
    <t xml:space="preserve">Large Despatch      </t>
  </si>
  <si>
    <t xml:space="preserve">TOTE </t>
  </si>
  <si>
    <t>DESPP</t>
  </si>
  <si>
    <t xml:space="preserve">Despatch Pallet     </t>
  </si>
  <si>
    <t xml:space="preserve">EURO </t>
  </si>
  <si>
    <t>DESPS</t>
  </si>
  <si>
    <t xml:space="preserve">Small Despatch      </t>
  </si>
  <si>
    <t>Kolnavne</t>
  </si>
  <si>
    <t>Vartype</t>
  </si>
  <si>
    <t>varchar(12)</t>
  </si>
  <si>
    <t>datetime</t>
  </si>
  <si>
    <t>varchar(50)</t>
  </si>
  <si>
    <t>varchar(10)</t>
  </si>
  <si>
    <t>varchar(40)</t>
  </si>
  <si>
    <t>varchar(25)</t>
  </si>
  <si>
    <t>?????</t>
  </si>
  <si>
    <t xml:space="preserve">HP   </t>
  </si>
  <si>
    <t>decimal(18,3)</t>
  </si>
  <si>
    <t>varchar(80)</t>
  </si>
  <si>
    <t xml:space="preserve">LMGWMS01  </t>
  </si>
  <si>
    <t xml:space="preserve">HANE DN15 F/ KRONEGREB/NØGLE            </t>
  </si>
  <si>
    <t xml:space="preserve">KERAMISK ELEMENT M/SPINDEL 200-300MM    </t>
  </si>
  <si>
    <t xml:space="preserve">KERAMISK ELEMENT M/SPINDEL 300-500MM    </t>
  </si>
  <si>
    <t xml:space="preserve">BØJN 90° S LANG M/N 1/4                 </t>
  </si>
  <si>
    <t xml:space="preserve">BØJN 90° S LANG M/N 3/8                 </t>
  </si>
  <si>
    <t xml:space="preserve">     </t>
  </si>
  <si>
    <t xml:space="preserve">     0.000</t>
  </si>
  <si>
    <t>varchar(2)</t>
  </si>
  <si>
    <t>materiale-type</t>
  </si>
  <si>
    <t>varchar(128)</t>
  </si>
  <si>
    <t xml:space="preserve">                                                                                                                                </t>
  </si>
  <si>
    <t xml:space="preserve">Invalid number of fields in mission request                                                                                     </t>
  </si>
  <si>
    <t xml:space="preserve">Invalid crane number in mission request                                                                                         </t>
  </si>
  <si>
    <t xml:space="preserve">Duplicated mission identity in mission request                                                                                  </t>
  </si>
  <si>
    <t xml:space="preserve">Invalid mission type in mission request                                                                                         </t>
  </si>
  <si>
    <t xml:space="preserve">M-CRN01     </t>
  </si>
  <si>
    <t xml:space="preserve">M-CRN02     </t>
  </si>
  <si>
    <t xml:space="preserve">M-CRN03     </t>
  </si>
  <si>
    <t xml:space="preserve">M-CRN04     </t>
  </si>
  <si>
    <t xml:space="preserve">M-CRN05     </t>
  </si>
  <si>
    <t xml:space="preserve">ML-IP01F    </t>
  </si>
  <si>
    <t xml:space="preserve">ML-IP02F    </t>
  </si>
  <si>
    <t xml:space="preserve">ML-IP03F    </t>
  </si>
  <si>
    <t xml:space="preserve">ML-IP04F    </t>
  </si>
  <si>
    <t xml:space="preserve">ML-IP05F    </t>
  </si>
  <si>
    <t xml:space="preserve">BADAREA     </t>
  </si>
  <si>
    <t>OFFL</t>
  </si>
  <si>
    <t xml:space="preserve">    </t>
  </si>
  <si>
    <t xml:space="preserve">probox              </t>
  </si>
  <si>
    <t>varchar(32)</t>
  </si>
  <si>
    <t xml:space="preserve">                                </t>
  </si>
  <si>
    <t>DUAL</t>
  </si>
  <si>
    <t xml:space="preserve">Disturbed                       </t>
  </si>
  <si>
    <t>varchar(4)</t>
  </si>
  <si>
    <t xml:space="preserve">.0.Select Empty Locations               </t>
  </si>
  <si>
    <t xml:space="preserve">65788.0.Logging                         </t>
  </si>
  <si>
    <t xml:space="preserve">Allocation.0.LMG                        </t>
  </si>
  <si>
    <t xml:space="preserve">Allocation.0.Logging                    </t>
  </si>
  <si>
    <t xml:space="preserve">Audit Scheduler.0.Audits per Zone       </t>
  </si>
  <si>
    <t>EA</t>
  </si>
  <si>
    <t>SA</t>
  </si>
  <si>
    <t>SC</t>
  </si>
  <si>
    <t xml:space="preserve">                                        </t>
  </si>
  <si>
    <t xml:space="preserve">DK56973311                              </t>
  </si>
  <si>
    <t xml:space="preserve">accounting@thurmer.com                  </t>
  </si>
  <si>
    <t xml:space="preserve">THÜRMER TOOLS ApS                       </t>
  </si>
  <si>
    <t xml:space="preserve">Centrallager Kolding                    </t>
  </si>
  <si>
    <t xml:space="preserve">Kansas Danmark A/S                      </t>
  </si>
  <si>
    <t xml:space="preserve">HAMMERHOLMEN 18, 1 SAL                  </t>
  </si>
  <si>
    <t xml:space="preserve">Nordager 1                              </t>
  </si>
  <si>
    <t xml:space="preserve">Blangstedgårdsvej 66                    </t>
  </si>
  <si>
    <t xml:space="preserve">            </t>
  </si>
  <si>
    <t xml:space="preserve">HVIDOVRE                                </t>
  </si>
  <si>
    <t xml:space="preserve">Kolding                                 </t>
  </si>
  <si>
    <t xml:space="preserve">Odense SØ                               </t>
  </si>
  <si>
    <t xml:space="preserve">  </t>
  </si>
  <si>
    <t>DK</t>
  </si>
  <si>
    <t xml:space="preserve">                    </t>
  </si>
  <si>
    <t>EI</t>
  </si>
  <si>
    <t>varchar(30)</t>
  </si>
  <si>
    <t xml:space="preserve">                         </t>
  </si>
  <si>
    <t xml:space="preserve">                              </t>
  </si>
  <si>
    <t>MINI</t>
  </si>
  <si>
    <t>????</t>
  </si>
  <si>
    <t>??ED</t>
  </si>
  <si>
    <t>??ST</t>
  </si>
  <si>
    <t xml:space="preserve">standard_pick.so                </t>
  </si>
  <si>
    <t xml:space="preserve">standard_end_pick.so            </t>
  </si>
  <si>
    <t xml:space="preserve">standard_start_pick.so          </t>
  </si>
  <si>
    <t xml:space="preserve">AUDT      </t>
  </si>
  <si>
    <t xml:space="preserve">COMP      </t>
  </si>
  <si>
    <t xml:space="preserve">REQD        </t>
  </si>
  <si>
    <t xml:space="preserve">MS12        </t>
  </si>
  <si>
    <t xml:space="preserve">MS21        </t>
  </si>
  <si>
    <t xml:space="preserve">MS42        </t>
  </si>
  <si>
    <t>????????????</t>
  </si>
  <si>
    <t>xCode</t>
  </si>
  <si>
    <t xml:space="preserve">GRID-01     </t>
  </si>
  <si>
    <t xml:space="preserve">PAK  </t>
  </si>
  <si>
    <t>ML-11</t>
  </si>
  <si>
    <t xml:space="preserve">REPLN 4369317019          PAR </t>
  </si>
  <si>
    <t>A</t>
  </si>
  <si>
    <t>REPLN</t>
  </si>
  <si>
    <t xml:space="preserve">null </t>
  </si>
  <si>
    <t>F</t>
  </si>
  <si>
    <t>H</t>
  </si>
  <si>
    <t>BATCH</t>
  </si>
  <si>
    <t>varchar(16)</t>
  </si>
  <si>
    <t>varchar(6)</t>
  </si>
  <si>
    <t xml:space="preserve">NYN??????NYN??????NYN??????YNN???????Y???????                                   </t>
  </si>
  <si>
    <t xml:space="preserve">NYN??????NYN??????NYN????????????????Y???????                                   </t>
  </si>
  <si>
    <t xml:space="preserve">NYN??????????????????????????????????Y???????                                   </t>
  </si>
  <si>
    <t xml:space="preserve">NYN??????NNY??????NNY????????????????Y???????                                   </t>
  </si>
  <si>
    <t xml:space="preserve">N????????N????????N??????????????????Y???????                                   </t>
  </si>
  <si>
    <t xml:space="preserve">AUDITORIUMPC                    </t>
  </si>
  <si>
    <t xml:space="preserve">DTDKLM00003                     </t>
  </si>
  <si>
    <t xml:space="preserve">DTDKLM00376                     </t>
  </si>
  <si>
    <t xml:space="preserve">DTDKLM70033                     </t>
  </si>
  <si>
    <t xml:space="preserve">DTDKLM70036                     </t>
  </si>
  <si>
    <t xml:space="preserve">RECEIPTS-25 </t>
  </si>
  <si>
    <t xml:space="preserve">Auditorium                                                                                      </t>
  </si>
  <si>
    <t xml:space="preserve">KranPc                                                                                          </t>
  </si>
  <si>
    <t xml:space="preserve">Kranpc                                                                                          </t>
  </si>
  <si>
    <t xml:space="preserve">DIRO                                                                                            </t>
  </si>
  <si>
    <t xml:space="preserve">LOST                                                                                            </t>
  </si>
  <si>
    <t xml:space="preserve">Report Printer                  </t>
  </si>
  <si>
    <t xml:space="preserve">LM01Pack01                      </t>
  </si>
  <si>
    <t xml:space="preserve">Rec-P01                         </t>
  </si>
  <si>
    <t xml:space="preserve">FLT-P39                         </t>
  </si>
  <si>
    <t xml:space="preserve">FLT-P01                         </t>
  </si>
  <si>
    <t xml:space="preserve">FLT-29      </t>
  </si>
  <si>
    <t xml:space="preserve">prdkkol104                      </t>
  </si>
  <si>
    <t xml:space="preserve">01Pack09                        </t>
  </si>
  <si>
    <t xml:space="preserve">SLET                            </t>
  </si>
  <si>
    <t xml:space="preserve">prdkkol106                      </t>
  </si>
  <si>
    <t>cont_size</t>
  </si>
  <si>
    <t>cont_type</t>
  </si>
  <si>
    <t>container</t>
  </si>
  <si>
    <t>customer_label</t>
  </si>
  <si>
    <t>empty_container</t>
  </si>
  <si>
    <t>item_conf</t>
  </si>
  <si>
    <t>item_ext</t>
  </si>
  <si>
    <t>item</t>
  </si>
  <si>
    <t>lmg_sscc</t>
  </si>
  <si>
    <t>location</t>
  </si>
  <si>
    <t>mhe_error_desc</t>
  </si>
  <si>
    <t>mhe_errors</t>
  </si>
  <si>
    <t>mhe_info</t>
  </si>
  <si>
    <t>move_job_desc</t>
  </si>
  <si>
    <t>movements</t>
  </si>
  <si>
    <t>operator_event</t>
  </si>
  <si>
    <t>params</t>
  </si>
  <si>
    <t>partner_address</t>
  </si>
  <si>
    <t>partner_info</t>
  </si>
  <si>
    <t>pick_category</t>
  </si>
  <si>
    <t>pick_count</t>
  </si>
  <si>
    <t>pick_req</t>
  </si>
  <si>
    <t>psm_data</t>
  </si>
  <si>
    <t>putaway</t>
  </si>
  <si>
    <t>replen_qty</t>
  </si>
  <si>
    <t>stock_assembly</t>
  </si>
  <si>
    <t>stock_req2</t>
  </si>
  <si>
    <t>stock_req</t>
  </si>
  <si>
    <t>stock_spread</t>
  </si>
  <si>
    <t>stock</t>
  </si>
  <si>
    <t>supply</t>
  </si>
  <si>
    <t>users</t>
  </si>
  <si>
    <t>wcs_alloc_priority</t>
  </si>
  <si>
    <t>wcs_alloc_zone_wt</t>
  </si>
  <si>
    <t>wms_order_line</t>
  </si>
  <si>
    <t>wms_order</t>
  </si>
  <si>
    <t>workstation</t>
  </si>
  <si>
    <t>zones</t>
  </si>
  <si>
    <t>LU</t>
  </si>
  <si>
    <t>Size</t>
  </si>
  <si>
    <t>Sice No</t>
  </si>
  <si>
    <t>Null</t>
  </si>
  <si>
    <t>Handling</t>
  </si>
  <si>
    <t>Hand 1</t>
  </si>
  <si>
    <t>Hand 2</t>
  </si>
  <si>
    <t>Hand 3</t>
  </si>
  <si>
    <t>Hand 4</t>
  </si>
  <si>
    <t>Parm 1</t>
  </si>
  <si>
    <t>Parm 2</t>
  </si>
  <si>
    <t>Parm 3</t>
  </si>
  <si>
    <t>Parm 4</t>
  </si>
  <si>
    <t>Parm 5</t>
  </si>
  <si>
    <t>Parm 6</t>
  </si>
  <si>
    <t>Parm 7</t>
  </si>
  <si>
    <t>Parm 8</t>
  </si>
  <si>
    <t>Parm 9</t>
  </si>
  <si>
    <t>Date Time</t>
  </si>
  <si>
    <t>Code</t>
  </si>
  <si>
    <t>Count</t>
  </si>
  <si>
    <t>Name</t>
  </si>
  <si>
    <t>Unit</t>
  </si>
  <si>
    <t>Area</t>
  </si>
  <si>
    <t>Area 1</t>
  </si>
  <si>
    <t>Area 2</t>
  </si>
  <si>
    <t>Area 3</t>
  </si>
  <si>
    <t>Area 4</t>
  </si>
  <si>
    <t>Empty</t>
  </si>
  <si>
    <t>Type 1</t>
  </si>
  <si>
    <t>Type 2</t>
  </si>
  <si>
    <t>Type 3</t>
  </si>
  <si>
    <t>Dual Only</t>
  </si>
  <si>
    <t>Dec 1</t>
  </si>
  <si>
    <t>Dec 2</t>
  </si>
  <si>
    <t>Move Job</t>
  </si>
  <si>
    <t>Job No</t>
  </si>
  <si>
    <t>Parms</t>
  </si>
  <si>
    <t>Value</t>
  </si>
  <si>
    <t>Func</t>
  </si>
  <si>
    <t>Parm X</t>
  </si>
  <si>
    <t>Std</t>
  </si>
  <si>
    <t>Place</t>
  </si>
  <si>
    <t>Parm C</t>
  </si>
  <si>
    <t>Parm 0</t>
  </si>
  <si>
    <t>Parm N</t>
  </si>
  <si>
    <t>Const</t>
  </si>
  <si>
    <t>Select 1</t>
  </si>
  <si>
    <t>Select 2</t>
  </si>
  <si>
    <t>Select 3</t>
  </si>
  <si>
    <t>Select 4</t>
  </si>
  <si>
    <t>Select 5</t>
  </si>
  <si>
    <t>Form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</si>
  <si>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</si>
  <si>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</si>
  <si>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</si>
  <si>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</si>
  <si>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</si>
  <si>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</si>
  <si>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</si>
  <si>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</si>
  <si>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</si>
  <si>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</si>
  <si>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</si>
  <si>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</si>
  <si>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</si>
  <si>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</si>
  <si>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Order SUB</t>
  </si>
  <si>
    <t>CVR</t>
  </si>
  <si>
    <t>Phone</t>
  </si>
  <si>
    <t>Fax</t>
  </si>
  <si>
    <t>Email</t>
  </si>
  <si>
    <t>Name 3</t>
  </si>
  <si>
    <t>Address 1</t>
  </si>
  <si>
    <t>Address 2</t>
  </si>
  <si>
    <t>Zip</t>
  </si>
  <si>
    <t>Town</t>
  </si>
  <si>
    <t>Country</t>
  </si>
  <si>
    <t>Requistion</t>
  </si>
  <si>
    <t>Contact Name</t>
  </si>
  <si>
    <t>Contact Number</t>
  </si>
  <si>
    <t>Order Name</t>
  </si>
  <si>
    <t>Order Name 1</t>
  </si>
  <si>
    <t>Order Name 2</t>
  </si>
  <si>
    <t>Label Printer</t>
  </si>
  <si>
    <t>Guide Printer</t>
  </si>
  <si>
    <t>Trotters Printer</t>
  </si>
  <si>
    <t>Document Printer</t>
  </si>
  <si>
    <t>Order Name 3</t>
  </si>
  <si>
    <t>Parm P</t>
  </si>
  <si>
    <t>Size 1</t>
  </si>
  <si>
    <t>Size 2</t>
  </si>
  <si>
    <t>OrderType</t>
  </si>
  <si>
    <t>value</t>
  </si>
  <si>
    <t>heigestAmount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</si>
</sst>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gradientFill degree="90">
        <stop position="0">
          <color theme="0"/>
        </stop>
        <stop position="1">
          <color rgb="FF00B0F0"/>
        </stop>
      </gradientFill>
    </fill>
    <fill>
      <patternFill patternType="solid">
        <fgColor theme="6" tint="0.59999389629810485"/>
        <bgColor indexed="64"/>
      </patternFill>
    </fill>
    <fill>
      <patternFill patternType="gray0625"/>
    </fill>
    <fill>
      <gradientFill degree="90">
        <stop position="0">
          <color theme="0"/>
        </stop>
        <stop position="1">
          <color theme="7" tint="0.40000610370189521"/>
        </stop>
      </gradientFill>
    </fill>
    <fill>
      <gradientFill degree="90">
        <stop position="0">
          <color theme="0"/>
        </stop>
        <stop position="1">
          <color rgb="FF00FF00"/>
        </stop>
      </gradient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2" xfId="1" applyFont="1" applyFill="1" applyBorder="1" applyAlignment="1">
      <alignment horizontal="right" wrapText="1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4" fillId="0" borderId="0" xfId="1" applyFont="1" applyFill="1" applyBorder="1" applyAlignment="1">
      <alignment horizontal="left"/>
    </xf>
    <xf numFmtId="0" fontId="3" fillId="3" borderId="0" xfId="0" applyFont="1" applyFill="1" applyBorder="1" applyAlignment="1">
      <alignment vertical="top"/>
    </xf>
    <xf numFmtId="0" fontId="0" fillId="0" borderId="0" xfId="0" applyBorder="1" applyAlignment="1"/>
    <xf numFmtId="0" fontId="5" fillId="0" borderId="0" xfId="1" applyFont="1" applyFill="1" applyBorder="1" applyAlignment="1">
      <alignment horizontal="left"/>
    </xf>
    <xf numFmtId="3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3" fillId="0" borderId="0" xfId="0" applyFont="1"/>
    <xf numFmtId="0" fontId="6" fillId="0" borderId="0" xfId="0" applyFont="1" applyAlignment="1">
      <alignment horizontal="right"/>
    </xf>
    <xf numFmtId="0" fontId="8" fillId="0" borderId="0" xfId="0" applyFont="1" applyBorder="1" applyAlignment="1">
      <alignment horizontal="right"/>
    </xf>
    <xf numFmtId="0" fontId="8" fillId="0" borderId="0" xfId="0" applyFont="1" applyFill="1" applyBorder="1" applyAlignment="1">
      <alignment horizontal="left"/>
    </xf>
    <xf numFmtId="0" fontId="9" fillId="0" borderId="0" xfId="1" applyFont="1" applyFill="1" applyBorder="1" applyAlignment="1">
      <alignment horizontal="left"/>
    </xf>
    <xf numFmtId="0" fontId="10" fillId="0" borderId="0" xfId="0" applyFont="1" applyBorder="1" applyAlignment="1"/>
    <xf numFmtId="0" fontId="10" fillId="0" borderId="0" xfId="0" applyFont="1" applyFill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0" fontId="8" fillId="0" borderId="0" xfId="0" applyFont="1" applyBorder="1" applyAlignment="1">
      <alignment horizontal="left"/>
    </xf>
    <xf numFmtId="0" fontId="12" fillId="0" borderId="0" xfId="0" applyFont="1"/>
    <xf numFmtId="0" fontId="4" fillId="4" borderId="0" xfId="1" applyFont="1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2" fillId="5" borderId="0" xfId="1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8" fillId="6" borderId="0" xfId="0" applyFont="1" applyFill="1" applyBorder="1" applyAlignment="1">
      <alignment horizontal="right" vertical="top"/>
    </xf>
    <xf numFmtId="0" fontId="8" fillId="6" borderId="0" xfId="0" applyFont="1" applyFill="1" applyBorder="1" applyAlignment="1">
      <alignment vertical="top"/>
    </xf>
    <xf numFmtId="0" fontId="8" fillId="7" borderId="0" xfId="0" applyFont="1" applyFill="1" applyBorder="1" applyAlignment="1">
      <alignment horizontal="left" vertical="top"/>
    </xf>
    <xf numFmtId="0" fontId="3" fillId="7" borderId="0" xfId="0" applyFont="1" applyFill="1" applyBorder="1" applyAlignment="1">
      <alignment horizontal="left" vertical="top"/>
    </xf>
    <xf numFmtId="0" fontId="0" fillId="8" borderId="0" xfId="0" applyFill="1" applyBorder="1" applyAlignment="1">
      <alignment horizontal="left" vertical="top"/>
    </xf>
    <xf numFmtId="0" fontId="0" fillId="3" borderId="0" xfId="0" applyFill="1" applyAlignment="1">
      <alignment vertical="top"/>
    </xf>
    <xf numFmtId="3" fontId="0" fillId="3" borderId="0" xfId="0" applyNumberFormat="1" applyFill="1" applyAlignment="1">
      <alignment horizontal="right" vertical="top"/>
    </xf>
    <xf numFmtId="0" fontId="0" fillId="3" borderId="0" xfId="0" applyFill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vertical="top"/>
    </xf>
    <xf numFmtId="3" fontId="0" fillId="3" borderId="0" xfId="0" applyNumberFormat="1" applyFill="1" applyAlignment="1">
      <alignment horizontal="left" vertical="top"/>
    </xf>
    <xf numFmtId="17" fontId="0" fillId="0" borderId="0" xfId="0" quotePrefix="1" applyNumberFormat="1" applyBorder="1" applyAlignment="1"/>
    <xf numFmtId="0" fontId="0" fillId="9" borderId="0" xfId="0" applyFill="1" applyBorder="1" applyAlignment="1"/>
    <xf numFmtId="0" fontId="8" fillId="9" borderId="0" xfId="0" applyFont="1" applyFill="1" applyBorder="1" applyAlignment="1">
      <alignment horizontal="right"/>
    </xf>
    <xf numFmtId="0" fontId="5" fillId="9" borderId="0" xfId="1" applyFont="1" applyFill="1" applyBorder="1" applyAlignment="1">
      <alignment horizontal="left"/>
    </xf>
    <xf numFmtId="0" fontId="8" fillId="9" borderId="0" xfId="0" applyFont="1" applyFill="1" applyBorder="1" applyAlignment="1">
      <alignment horizontal="left"/>
    </xf>
    <xf numFmtId="0" fontId="4" fillId="9" borderId="0" xfId="1" applyFont="1" applyFill="1" applyBorder="1" applyAlignment="1">
      <alignment horizontal="left"/>
    </xf>
  </cellXfs>
  <cellStyles count="2">
    <cellStyle name="Normal" xfId="0" builtinId="0"/>
    <cellStyle name="Normal_Ark3" xfId="1"/>
  </cellStyles>
  <dxfs count="0"/>
  <tableStyles count="0" defaultTableStyle="TableStyleMedium9" defaultPivotStyle="PivotStyleLight16"/>
  <colors>
    <mruColors>
      <color rgb="FF00FF00"/>
      <color rgb="FF0000FF"/>
      <color rgb="FF33CC33"/>
      <color rgb="FF00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29">
    <tabColor rgb="FF00B0F0"/>
    <pageSetUpPr fitToPage="1"/>
  </sheetPr>
  <dimension ref="A1:K41"/>
  <sheetViews>
    <sheetView workbookViewId="0">
      <pane ySplit="1" topLeftCell="A2" activePane="bottomLeft" state="frozen"/>
      <selection pane="bottomLeft" activeCell="L15" sqref="L15"/>
    </sheetView>
  </sheetViews>
  <sheetFormatPr defaultRowHeight="15"/>
  <cols>
    <col min="1" max="1" width="45" bestFit="1" customWidth="1"/>
    <col min="2" max="2" width="11.140625" style="11" bestFit="1" customWidth="1"/>
    <col min="3" max="3" width="15.5703125" style="12" bestFit="1" customWidth="1"/>
    <col min="4" max="4" width="9.140625" style="14"/>
    <col min="7" max="7" width="19.28515625" bestFit="1" customWidth="1"/>
    <col min="8" max="8" width="26.140625" bestFit="1" customWidth="1"/>
    <col min="11" max="11" width="27.7109375" bestFit="1" customWidth="1"/>
  </cols>
  <sheetData>
    <row r="1" spans="1:11" s="38" customFormat="1" ht="30" customHeight="1">
      <c r="A1" s="34" t="s">
        <v>892</v>
      </c>
      <c r="B1" s="35" t="s">
        <v>893</v>
      </c>
      <c r="C1" s="36" t="s">
        <v>894</v>
      </c>
      <c r="D1" s="37" t="s">
        <v>896</v>
      </c>
      <c r="G1" s="39" t="s">
        <v>897</v>
      </c>
      <c r="H1" s="39" t="s">
        <v>899</v>
      </c>
      <c r="I1" s="37" t="s">
        <v>896</v>
      </c>
      <c r="K1" s="39" t="s">
        <v>898</v>
      </c>
    </row>
    <row r="2" spans="1:11">
      <c r="A2" t="s">
        <v>852</v>
      </c>
      <c r="B2" s="11">
        <v>200688</v>
      </c>
      <c r="C2" s="13">
        <v>42626.086805555555</v>
      </c>
      <c r="D2" s="14" t="str">
        <f>IF(IFERROR(MATCH(A2,$K$2:$K$39,0),0),"Ok","Mangler")</f>
        <v>Ok</v>
      </c>
      <c r="E2" t="str">
        <f>IF(IFERROR(MATCH(A2,$H$2:$H$23,0),0),"Ok","Mangler")</f>
        <v>Mangler</v>
      </c>
      <c r="G2" t="s">
        <v>0</v>
      </c>
      <c r="H2" t="str">
        <f>LOWER(SUBSTITUTE(G2,"-dat",".dat.extract"))</f>
        <v>container.dat.extract</v>
      </c>
      <c r="I2" s="14" t="str">
        <f>IF(IFERROR(MATCH(H2,$A$2:$A$39,0),0),"Ok","Mangler")</f>
        <v>Ok</v>
      </c>
      <c r="K2" t="s">
        <v>852</v>
      </c>
    </row>
    <row r="3" spans="1:11">
      <c r="A3" t="s">
        <v>853</v>
      </c>
      <c r="B3" s="11">
        <v>276</v>
      </c>
      <c r="C3" s="13">
        <v>42626.086805555555</v>
      </c>
      <c r="D3" s="14" t="str">
        <f t="shared" ref="D3:D41" si="0">IF(IFERROR(MATCH(A3,$K$2:$K$39,0),0),"Ok","Mangler")</f>
        <v>Ok</v>
      </c>
      <c r="E3" t="str">
        <f t="shared" ref="E3:E41" si="1">IF(IFERROR(MATCH(A3,$H$2:$H$23,0),0),"Ok","Mangler")</f>
        <v>Mangler</v>
      </c>
      <c r="G3" t="s">
        <v>94</v>
      </c>
      <c r="H3" t="str">
        <f t="shared" ref="H3:H23" si="2">LOWER(SUBSTITUTE(G3,"-dat",".dat.extract"))</f>
        <v>customer_label.dat.extract</v>
      </c>
      <c r="I3" s="14" t="str">
        <f t="shared" ref="I3:I23" si="3">IF(IFERROR(MATCH(H3,$A$2:$A$39,0),0),"Ok","Mangler")</f>
        <v>Ok</v>
      </c>
      <c r="K3" t="s">
        <v>853</v>
      </c>
    </row>
    <row r="4" spans="1:11">
      <c r="A4" t="s">
        <v>854</v>
      </c>
      <c r="B4" s="11">
        <v>3253</v>
      </c>
      <c r="C4" s="13">
        <v>42626.086817129632</v>
      </c>
      <c r="D4" s="14" t="str">
        <f t="shared" si="0"/>
        <v>Ok</v>
      </c>
      <c r="E4" t="str">
        <f t="shared" si="1"/>
        <v>Mangler</v>
      </c>
      <c r="G4" t="s">
        <v>119</v>
      </c>
      <c r="H4" t="str">
        <f t="shared" si="2"/>
        <v>item_conf.dat.extract</v>
      </c>
      <c r="I4" s="14" t="str">
        <f t="shared" si="3"/>
        <v>Ok</v>
      </c>
      <c r="K4" t="s">
        <v>854</v>
      </c>
    </row>
    <row r="5" spans="1:11">
      <c r="A5" t="s">
        <v>855</v>
      </c>
      <c r="B5" s="11">
        <v>39339402</v>
      </c>
      <c r="C5" s="13">
        <v>42626.087372685186</v>
      </c>
      <c r="D5" s="14" t="str">
        <f t="shared" si="0"/>
        <v>Ok</v>
      </c>
      <c r="E5" t="str">
        <f t="shared" si="1"/>
        <v>Ok</v>
      </c>
      <c r="G5" t="s">
        <v>148</v>
      </c>
      <c r="H5" t="str">
        <f t="shared" si="2"/>
        <v>item_ext.dat.extract</v>
      </c>
      <c r="I5" s="14" t="str">
        <f t="shared" si="3"/>
        <v>Ok</v>
      </c>
      <c r="K5" t="s">
        <v>855</v>
      </c>
    </row>
    <row r="6" spans="1:11">
      <c r="A6" t="s">
        <v>856</v>
      </c>
      <c r="B6" s="11">
        <v>2739584</v>
      </c>
      <c r="C6" s="13">
        <v>42626.087407407409</v>
      </c>
      <c r="D6" s="14" t="str">
        <f t="shared" si="0"/>
        <v>Ok</v>
      </c>
      <c r="E6" t="str">
        <f t="shared" si="1"/>
        <v>Ok</v>
      </c>
      <c r="G6" t="s">
        <v>157</v>
      </c>
      <c r="H6" t="str">
        <f t="shared" si="2"/>
        <v>lmg_sscc.dat.extract</v>
      </c>
      <c r="I6" s="14" t="str">
        <f t="shared" si="3"/>
        <v>Ok</v>
      </c>
      <c r="K6" t="s">
        <v>856</v>
      </c>
    </row>
    <row r="7" spans="1:11">
      <c r="A7" t="s">
        <v>857</v>
      </c>
      <c r="B7" s="11">
        <v>1568</v>
      </c>
      <c r="C7" s="13">
        <v>42626.087766203702</v>
      </c>
      <c r="D7" s="14" t="str">
        <f t="shared" si="0"/>
        <v>Ok</v>
      </c>
      <c r="E7" t="str">
        <f t="shared" si="1"/>
        <v>Mangler</v>
      </c>
      <c r="G7" t="s">
        <v>170</v>
      </c>
      <c r="H7" t="str">
        <f t="shared" si="2"/>
        <v>location.dat.extract</v>
      </c>
      <c r="I7" s="14" t="str">
        <f t="shared" si="3"/>
        <v>Ok</v>
      </c>
      <c r="K7" t="s">
        <v>857</v>
      </c>
    </row>
    <row r="8" spans="1:11">
      <c r="A8" t="s">
        <v>858</v>
      </c>
      <c r="B8" s="11">
        <v>50071091</v>
      </c>
      <c r="C8" s="13">
        <v>42626.088460648149</v>
      </c>
      <c r="D8" s="14" t="str">
        <f t="shared" si="0"/>
        <v>Ok</v>
      </c>
      <c r="E8" t="str">
        <f t="shared" si="1"/>
        <v>Mangler</v>
      </c>
      <c r="G8" t="s">
        <v>171</v>
      </c>
      <c r="H8" t="str">
        <f t="shared" si="2"/>
        <v>mat0088</v>
      </c>
      <c r="I8" s="14" t="str">
        <f t="shared" si="3"/>
        <v>Mangler</v>
      </c>
      <c r="K8" t="s">
        <v>858</v>
      </c>
    </row>
    <row r="9" spans="1:11">
      <c r="A9" t="s">
        <v>859</v>
      </c>
      <c r="B9" s="11">
        <v>143644544</v>
      </c>
      <c r="C9" s="13">
        <v>42626.090474537035</v>
      </c>
      <c r="D9" s="14" t="str">
        <f t="shared" si="0"/>
        <v>Ok</v>
      </c>
      <c r="E9" t="str">
        <f t="shared" si="1"/>
        <v>Ok</v>
      </c>
      <c r="G9" t="s">
        <v>175</v>
      </c>
      <c r="H9" t="str">
        <f t="shared" si="2"/>
        <v>materiale-type</v>
      </c>
      <c r="I9" s="14" t="str">
        <f t="shared" si="3"/>
        <v>Mangler</v>
      </c>
      <c r="K9" t="s">
        <v>859</v>
      </c>
    </row>
    <row r="10" spans="1:11">
      <c r="A10" t="s">
        <v>860</v>
      </c>
      <c r="B10" s="11">
        <v>267192315</v>
      </c>
      <c r="C10" s="13">
        <v>42626.094201388885</v>
      </c>
      <c r="D10" s="14" t="str">
        <f t="shared" si="0"/>
        <v>Ok</v>
      </c>
      <c r="E10" t="str">
        <f t="shared" si="1"/>
        <v>Ok</v>
      </c>
      <c r="G10" t="s">
        <v>197</v>
      </c>
      <c r="H10" t="str">
        <f t="shared" si="2"/>
        <v>movements.dat.extract</v>
      </c>
      <c r="I10" s="14" t="str">
        <f t="shared" si="3"/>
        <v>Ok</v>
      </c>
      <c r="K10" t="s">
        <v>860</v>
      </c>
    </row>
    <row r="11" spans="1:11">
      <c r="A11" t="s">
        <v>861</v>
      </c>
      <c r="B11" s="11">
        <v>355520</v>
      </c>
      <c r="C11" s="13">
        <v>42626.094212962962</v>
      </c>
      <c r="D11" s="14" t="str">
        <f t="shared" si="0"/>
        <v>Ok</v>
      </c>
      <c r="E11" t="str">
        <f t="shared" si="1"/>
        <v>Ok</v>
      </c>
      <c r="G11" t="s">
        <v>380</v>
      </c>
      <c r="H11" t="str">
        <f t="shared" si="2"/>
        <v>operator_event.dat.extract</v>
      </c>
      <c r="I11" s="14" t="str">
        <f t="shared" si="3"/>
        <v>Ok</v>
      </c>
      <c r="K11" t="s">
        <v>861</v>
      </c>
    </row>
    <row r="12" spans="1:11">
      <c r="A12" t="s">
        <v>862</v>
      </c>
      <c r="B12" s="11">
        <v>45991522</v>
      </c>
      <c r="C12" s="13">
        <v>42626.094872685186</v>
      </c>
      <c r="D12" s="14" t="str">
        <f t="shared" si="0"/>
        <v>Ok</v>
      </c>
      <c r="E12" t="str">
        <f t="shared" si="1"/>
        <v>Ok</v>
      </c>
      <c r="G12" t="s">
        <v>391</v>
      </c>
      <c r="H12" t="str">
        <f t="shared" si="2"/>
        <v>pick_count.dat.extract</v>
      </c>
      <c r="I12" s="14" t="str">
        <f t="shared" si="3"/>
        <v>Ok</v>
      </c>
      <c r="K12" t="s">
        <v>862</v>
      </c>
    </row>
    <row r="13" spans="1:11">
      <c r="A13" t="s">
        <v>863</v>
      </c>
      <c r="B13" s="11">
        <v>76464</v>
      </c>
      <c r="C13" s="13">
        <v>42626.094884259262</v>
      </c>
      <c r="D13" s="14" t="str">
        <f t="shared" si="0"/>
        <v>Ok</v>
      </c>
      <c r="E13" t="str">
        <f t="shared" si="1"/>
        <v>Mangler</v>
      </c>
      <c r="G13" t="s">
        <v>427</v>
      </c>
      <c r="H13" t="str">
        <f t="shared" si="2"/>
        <v>pick_req.dat.extract</v>
      </c>
      <c r="I13" s="14" t="str">
        <f t="shared" si="3"/>
        <v>Ok</v>
      </c>
      <c r="K13" t="s">
        <v>864</v>
      </c>
    </row>
    <row r="14" spans="1:11">
      <c r="A14" t="s">
        <v>864</v>
      </c>
      <c r="B14" s="11">
        <v>702</v>
      </c>
      <c r="C14" s="13">
        <v>42626.094884259262</v>
      </c>
      <c r="D14" s="14" t="str">
        <f t="shared" si="0"/>
        <v>Ok</v>
      </c>
      <c r="E14" t="str">
        <f t="shared" si="1"/>
        <v>Mangler</v>
      </c>
      <c r="G14" t="s">
        <v>448</v>
      </c>
      <c r="H14" t="str">
        <f t="shared" si="2"/>
        <v>putaway.dat.extract</v>
      </c>
      <c r="I14" s="14" t="str">
        <f t="shared" si="3"/>
        <v>Ok</v>
      </c>
      <c r="K14" t="s">
        <v>863</v>
      </c>
    </row>
    <row r="15" spans="1:11">
      <c r="A15" t="s">
        <v>865</v>
      </c>
      <c r="B15" s="11">
        <v>9053</v>
      </c>
      <c r="C15" s="13">
        <v>42626.094895833332</v>
      </c>
      <c r="D15" s="14" t="str">
        <f t="shared" si="0"/>
        <v>Ok</v>
      </c>
      <c r="E15" t="str">
        <f t="shared" si="1"/>
        <v>Mangler</v>
      </c>
      <c r="G15" t="s">
        <v>470</v>
      </c>
      <c r="H15" t="str">
        <f t="shared" si="2"/>
        <v>replen_qty.dat.extract</v>
      </c>
      <c r="I15" s="14" t="str">
        <f t="shared" si="3"/>
        <v>Ok</v>
      </c>
      <c r="K15" t="s">
        <v>865</v>
      </c>
    </row>
    <row r="16" spans="1:11">
      <c r="A16" t="s">
        <v>866</v>
      </c>
      <c r="B16" s="11">
        <v>19760</v>
      </c>
      <c r="C16" s="13">
        <v>42626.094907407409</v>
      </c>
      <c r="D16" s="14" t="str">
        <f t="shared" si="0"/>
        <v>Ok</v>
      </c>
      <c r="E16" t="str">
        <f t="shared" si="1"/>
        <v>Mangler</v>
      </c>
      <c r="G16" t="s">
        <v>471</v>
      </c>
      <c r="H16" t="str">
        <f t="shared" si="2"/>
        <v>sap-materialer</v>
      </c>
      <c r="I16" s="14" t="str">
        <f t="shared" si="3"/>
        <v>Mangler</v>
      </c>
      <c r="K16" t="s">
        <v>866</v>
      </c>
    </row>
    <row r="17" spans="1:11">
      <c r="A17" t="s">
        <v>867</v>
      </c>
      <c r="B17" s="11">
        <v>2737</v>
      </c>
      <c r="C17" s="13">
        <v>42626.094918981478</v>
      </c>
      <c r="D17" s="14" t="str">
        <f t="shared" si="0"/>
        <v>Mangler</v>
      </c>
      <c r="E17" t="str">
        <f t="shared" si="1"/>
        <v>Mangler</v>
      </c>
      <c r="G17" t="s">
        <v>511</v>
      </c>
      <c r="H17" t="str">
        <f t="shared" si="2"/>
        <v>stock_req.dat.extract</v>
      </c>
      <c r="I17" s="14" t="str">
        <f t="shared" si="3"/>
        <v>Ok</v>
      </c>
      <c r="K17" t="s">
        <v>868</v>
      </c>
    </row>
    <row r="18" spans="1:11">
      <c r="A18" t="s">
        <v>868</v>
      </c>
      <c r="B18" s="11">
        <v>33561</v>
      </c>
      <c r="C18" s="13">
        <v>42626.094918981478</v>
      </c>
      <c r="D18" s="14" t="str">
        <f t="shared" si="0"/>
        <v>Ok</v>
      </c>
      <c r="E18" t="str">
        <f t="shared" si="1"/>
        <v>Ok</v>
      </c>
      <c r="G18" t="s">
        <v>518</v>
      </c>
      <c r="H18" t="str">
        <f t="shared" si="2"/>
        <v>stock_spread.dat.extract</v>
      </c>
      <c r="I18" s="14" t="str">
        <f t="shared" si="3"/>
        <v>Ok</v>
      </c>
      <c r="K18" t="s">
        <v>869</v>
      </c>
    </row>
    <row r="19" spans="1:11">
      <c r="A19" t="s">
        <v>869</v>
      </c>
      <c r="B19" s="11">
        <v>7484465</v>
      </c>
      <c r="C19" s="13">
        <v>42626.095046296294</v>
      </c>
      <c r="D19" s="14" t="str">
        <f t="shared" si="0"/>
        <v>Ok</v>
      </c>
      <c r="E19" t="str">
        <f t="shared" si="1"/>
        <v>Ok</v>
      </c>
      <c r="G19" t="s">
        <v>577</v>
      </c>
      <c r="H19" t="str">
        <f t="shared" si="2"/>
        <v>stock.dat.extract</v>
      </c>
      <c r="I19" s="14" t="str">
        <f t="shared" si="3"/>
        <v>Ok</v>
      </c>
      <c r="K19" t="s">
        <v>870</v>
      </c>
    </row>
    <row r="20" spans="1:11">
      <c r="A20" t="s">
        <v>870</v>
      </c>
      <c r="B20" s="11">
        <v>214102</v>
      </c>
      <c r="C20" s="13">
        <v>42626.095046296294</v>
      </c>
      <c r="D20" s="14" t="str">
        <f t="shared" si="0"/>
        <v>Ok</v>
      </c>
      <c r="E20" t="str">
        <f t="shared" si="1"/>
        <v>Mangler</v>
      </c>
      <c r="G20" t="s">
        <v>607</v>
      </c>
      <c r="H20" t="str">
        <f t="shared" si="2"/>
        <v>supply.dat.extract</v>
      </c>
      <c r="I20" s="14" t="str">
        <f t="shared" si="3"/>
        <v>Ok</v>
      </c>
      <c r="K20" t="s">
        <v>871</v>
      </c>
    </row>
    <row r="21" spans="1:11">
      <c r="A21" t="s">
        <v>871</v>
      </c>
      <c r="B21" s="11">
        <v>44702187</v>
      </c>
      <c r="C21" s="13">
        <v>42626.095682870371</v>
      </c>
      <c r="D21" s="14" t="str">
        <f t="shared" si="0"/>
        <v>Ok</v>
      </c>
      <c r="E21" t="str">
        <f t="shared" si="1"/>
        <v>Mangler</v>
      </c>
      <c r="G21" t="s">
        <v>683</v>
      </c>
      <c r="H21" t="str">
        <f t="shared" si="2"/>
        <v>wms_order_line.dat.extract</v>
      </c>
      <c r="I21" s="14" t="str">
        <f t="shared" si="3"/>
        <v>Ok</v>
      </c>
      <c r="K21" t="s">
        <v>872</v>
      </c>
    </row>
    <row r="22" spans="1:11">
      <c r="A22" t="s">
        <v>872</v>
      </c>
      <c r="B22" s="11">
        <v>6385137</v>
      </c>
      <c r="C22" s="13">
        <v>42626.097453703704</v>
      </c>
      <c r="D22" s="14" t="str">
        <f t="shared" si="0"/>
        <v>Ok</v>
      </c>
      <c r="E22" t="str">
        <f t="shared" si="1"/>
        <v>Mangler</v>
      </c>
      <c r="G22" t="s">
        <v>723</v>
      </c>
      <c r="H22" t="str">
        <f t="shared" si="2"/>
        <v>wms_order.dat.extract</v>
      </c>
      <c r="I22" s="14" t="str">
        <f t="shared" si="3"/>
        <v>Ok</v>
      </c>
      <c r="K22" t="s">
        <v>873</v>
      </c>
    </row>
    <row r="23" spans="1:11">
      <c r="A23" t="s">
        <v>873</v>
      </c>
      <c r="B23" s="11">
        <v>1323</v>
      </c>
      <c r="C23" s="13">
        <v>42626.09746527778</v>
      </c>
      <c r="D23" s="14" t="str">
        <f t="shared" si="0"/>
        <v>Ok</v>
      </c>
      <c r="E23" t="str">
        <f t="shared" si="1"/>
        <v>Mangler</v>
      </c>
      <c r="G23" t="s">
        <v>775</v>
      </c>
      <c r="H23" t="str">
        <f t="shared" si="2"/>
        <v>zones.dat.extract</v>
      </c>
      <c r="I23" s="14" t="str">
        <f t="shared" si="3"/>
        <v>Mangler</v>
      </c>
      <c r="K23" t="s">
        <v>874</v>
      </c>
    </row>
    <row r="24" spans="1:11">
      <c r="A24" t="s">
        <v>874</v>
      </c>
      <c r="B24" s="11">
        <v>38107288</v>
      </c>
      <c r="C24" s="13">
        <v>42626.097997685189</v>
      </c>
      <c r="D24" s="14" t="str">
        <f t="shared" si="0"/>
        <v>Ok</v>
      </c>
      <c r="E24" t="str">
        <f t="shared" si="1"/>
        <v>Ok</v>
      </c>
      <c r="K24" t="s">
        <v>875</v>
      </c>
    </row>
    <row r="25" spans="1:11">
      <c r="A25" t="s">
        <v>875</v>
      </c>
      <c r="B25" s="11">
        <v>14552</v>
      </c>
      <c r="C25" s="13">
        <v>42626.098009259258</v>
      </c>
      <c r="D25" s="14" t="str">
        <f t="shared" si="0"/>
        <v>Ok</v>
      </c>
      <c r="E25" t="str">
        <f t="shared" si="1"/>
        <v>Ok</v>
      </c>
      <c r="K25" t="s">
        <v>877</v>
      </c>
    </row>
    <row r="26" spans="1:11">
      <c r="A26" t="s">
        <v>876</v>
      </c>
      <c r="B26" s="11">
        <v>37269</v>
      </c>
      <c r="C26" s="13">
        <v>42626.098020833335</v>
      </c>
      <c r="D26" s="14" t="str">
        <f t="shared" si="0"/>
        <v>Mangler</v>
      </c>
      <c r="E26" t="str">
        <f t="shared" si="1"/>
        <v>Mangler</v>
      </c>
      <c r="K26" t="s">
        <v>878</v>
      </c>
    </row>
    <row r="27" spans="1:11">
      <c r="A27" t="s">
        <v>877</v>
      </c>
      <c r="B27" s="11">
        <v>310050</v>
      </c>
      <c r="C27" s="13">
        <v>42626.098032407404</v>
      </c>
      <c r="D27" s="14" t="str">
        <f t="shared" si="0"/>
        <v>Ok</v>
      </c>
      <c r="E27" t="str">
        <f t="shared" si="1"/>
        <v>Ok</v>
      </c>
      <c r="K27" t="s">
        <v>880</v>
      </c>
    </row>
    <row r="28" spans="1:11">
      <c r="A28" t="s">
        <v>878</v>
      </c>
      <c r="B28" s="11">
        <v>436566</v>
      </c>
      <c r="C28" s="13">
        <v>42626.098043981481</v>
      </c>
      <c r="D28" s="14" t="str">
        <f t="shared" si="0"/>
        <v>Ok</v>
      </c>
      <c r="E28" t="str">
        <f t="shared" si="1"/>
        <v>Ok</v>
      </c>
      <c r="K28" t="s">
        <v>882</v>
      </c>
    </row>
    <row r="29" spans="1:11">
      <c r="A29" t="s">
        <v>879</v>
      </c>
      <c r="B29" s="11">
        <v>45338744</v>
      </c>
      <c r="C29" s="13">
        <v>42626.098692129628</v>
      </c>
      <c r="D29" s="14" t="str">
        <f t="shared" si="0"/>
        <v>Ok</v>
      </c>
      <c r="E29" t="str">
        <f t="shared" si="1"/>
        <v>Ok</v>
      </c>
      <c r="K29" t="s">
        <v>881</v>
      </c>
    </row>
    <row r="30" spans="1:11">
      <c r="A30" t="s">
        <v>880</v>
      </c>
      <c r="B30" s="11">
        <v>341711</v>
      </c>
      <c r="C30" s="13">
        <v>42626.098703703705</v>
      </c>
      <c r="D30" s="14" t="str">
        <f t="shared" si="0"/>
        <v>Ok</v>
      </c>
      <c r="E30" t="str">
        <f t="shared" si="1"/>
        <v>Mangler</v>
      </c>
      <c r="K30" t="s">
        <v>885</v>
      </c>
    </row>
    <row r="31" spans="1:11">
      <c r="A31" t="s">
        <v>881</v>
      </c>
      <c r="B31" s="11">
        <v>3389762</v>
      </c>
      <c r="C31" s="13">
        <v>42626.098761574074</v>
      </c>
      <c r="D31" s="14" t="str">
        <f t="shared" si="0"/>
        <v>Ok</v>
      </c>
      <c r="E31" t="str">
        <f t="shared" si="1"/>
        <v>Ok</v>
      </c>
      <c r="K31" t="s">
        <v>879</v>
      </c>
    </row>
    <row r="32" spans="1:11">
      <c r="A32" t="s">
        <v>882</v>
      </c>
      <c r="B32" s="11">
        <v>2037984</v>
      </c>
      <c r="C32" s="13">
        <v>42626.098796296297</v>
      </c>
      <c r="D32" s="14" t="str">
        <f t="shared" si="0"/>
        <v>Ok</v>
      </c>
      <c r="E32" t="str">
        <f t="shared" si="1"/>
        <v>Mangler</v>
      </c>
      <c r="K32" t="s">
        <v>886</v>
      </c>
    </row>
    <row r="33" spans="1:11">
      <c r="A33" t="s">
        <v>883</v>
      </c>
      <c r="B33" s="11">
        <v>54755</v>
      </c>
      <c r="C33" s="13">
        <v>42626.098796296297</v>
      </c>
      <c r="D33" s="14" t="str">
        <f t="shared" si="0"/>
        <v>Ok</v>
      </c>
      <c r="E33" t="str">
        <f t="shared" si="1"/>
        <v>Mangler</v>
      </c>
      <c r="K33" t="s">
        <v>883</v>
      </c>
    </row>
    <row r="34" spans="1:11">
      <c r="A34" t="s">
        <v>884</v>
      </c>
      <c r="B34" s="11">
        <v>44426550</v>
      </c>
      <c r="C34" s="13">
        <v>42626.099432870367</v>
      </c>
      <c r="D34" s="14" t="str">
        <f t="shared" si="0"/>
        <v>Ok</v>
      </c>
      <c r="E34" t="str">
        <f t="shared" si="1"/>
        <v>Ok</v>
      </c>
      <c r="K34" t="s">
        <v>887</v>
      </c>
    </row>
    <row r="35" spans="1:11">
      <c r="A35" t="s">
        <v>885</v>
      </c>
      <c r="B35" s="11">
        <v>7019244</v>
      </c>
      <c r="C35" s="13">
        <v>42626.099537037036</v>
      </c>
      <c r="D35" s="14" t="str">
        <f t="shared" si="0"/>
        <v>Ok</v>
      </c>
      <c r="E35" t="str">
        <f t="shared" si="1"/>
        <v>Ok</v>
      </c>
      <c r="K35" t="s">
        <v>895</v>
      </c>
    </row>
    <row r="36" spans="1:11">
      <c r="A36" t="s">
        <v>886</v>
      </c>
      <c r="B36" s="11">
        <v>15409908</v>
      </c>
      <c r="C36" s="13">
        <v>42626.099756944444</v>
      </c>
      <c r="D36" s="14" t="str">
        <f t="shared" si="0"/>
        <v>Ok</v>
      </c>
      <c r="E36" t="str">
        <f t="shared" si="1"/>
        <v>Ok</v>
      </c>
      <c r="K36" t="s">
        <v>889</v>
      </c>
    </row>
    <row r="37" spans="1:11">
      <c r="A37" t="s">
        <v>887</v>
      </c>
      <c r="B37" s="11">
        <v>149</v>
      </c>
      <c r="C37" s="13">
        <v>42626.099768518521</v>
      </c>
      <c r="D37" s="14" t="str">
        <f t="shared" si="0"/>
        <v>Ok</v>
      </c>
      <c r="E37" t="str">
        <f t="shared" si="1"/>
        <v>Mangler</v>
      </c>
      <c r="K37" t="s">
        <v>884</v>
      </c>
    </row>
    <row r="38" spans="1:11">
      <c r="A38" t="s">
        <v>888</v>
      </c>
      <c r="B38" s="11">
        <v>5502</v>
      </c>
      <c r="C38" s="13">
        <v>42626.099768518521</v>
      </c>
      <c r="D38" s="14" t="str">
        <f t="shared" si="0"/>
        <v>Mangler</v>
      </c>
      <c r="E38" t="str">
        <f t="shared" si="1"/>
        <v>Mangler</v>
      </c>
      <c r="K38" t="s">
        <v>890</v>
      </c>
    </row>
    <row r="39" spans="1:11">
      <c r="A39" t="s">
        <v>889</v>
      </c>
      <c r="B39" s="11">
        <v>9418959</v>
      </c>
      <c r="C39" s="13">
        <v>42626.099907407406</v>
      </c>
      <c r="D39" s="14" t="str">
        <f t="shared" si="0"/>
        <v>Ok</v>
      </c>
      <c r="E39" t="str">
        <f t="shared" si="1"/>
        <v>Ok</v>
      </c>
      <c r="K39" t="s">
        <v>891</v>
      </c>
    </row>
    <row r="40" spans="1:11">
      <c r="A40" t="s">
        <v>890</v>
      </c>
      <c r="B40" s="11">
        <v>75744</v>
      </c>
      <c r="C40" s="13">
        <v>42626.099918981483</v>
      </c>
      <c r="D40" s="14" t="str">
        <f t="shared" si="0"/>
        <v>Ok</v>
      </c>
      <c r="E40" t="str">
        <f t="shared" si="1"/>
        <v>Mangler</v>
      </c>
    </row>
    <row r="41" spans="1:11">
      <c r="A41" t="s">
        <v>891</v>
      </c>
      <c r="B41" s="11">
        <v>24150</v>
      </c>
      <c r="C41" s="13">
        <v>42626.099918981483</v>
      </c>
      <c r="D41" s="14" t="str">
        <f t="shared" si="0"/>
        <v>Ok</v>
      </c>
      <c r="E41" t="str">
        <f t="shared" si="1"/>
        <v>Ok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1">
    <tabColor rgb="FF00FF00"/>
  </sheetPr>
  <dimension ref="A1:L1215"/>
  <sheetViews>
    <sheetView tabSelected="1" zoomScaleNormal="100" workbookViewId="0">
      <pane ySplit="1" topLeftCell="A512" activePane="bottomLeft" state="frozen"/>
      <selection pane="bottomLeft" activeCell="D492" sqref="D491:D510"/>
    </sheetView>
  </sheetViews>
  <sheetFormatPr defaultRowHeight="15"/>
  <cols>
    <col min="1" max="1" width="21.85546875" style="9" bestFit="1" customWidth="1"/>
    <col min="2" max="3" width="4.42578125" style="16" bestFit="1" customWidth="1"/>
    <col min="4" max="4" width="4.42578125" style="16" customWidth="1"/>
    <col min="5" max="5" width="23.28515625" style="9" bestFit="1" customWidth="1"/>
    <col min="6" max="6" width="14.42578125" style="17" bestFit="1" customWidth="1"/>
    <col min="7" max="7" width="58.140625" style="6" bestFit="1" customWidth="1"/>
    <col min="8" max="12" width="36.5703125" style="5" bestFit="1" customWidth="1"/>
    <col min="13" max="16384" width="9.140625" style="9"/>
  </cols>
  <sheetData>
    <row r="1" spans="1:12" ht="33" customHeight="1">
      <c r="A1" s="8" t="s">
        <v>776</v>
      </c>
      <c r="B1" s="29" t="s">
        <v>778</v>
      </c>
      <c r="C1" s="30" t="s">
        <v>777</v>
      </c>
      <c r="D1" s="30"/>
      <c r="E1" s="31" t="s">
        <v>926</v>
      </c>
      <c r="F1" s="31" t="s">
        <v>927</v>
      </c>
      <c r="G1" s="32"/>
      <c r="H1" s="33" t="str">
        <f>"Data Lin "&amp;COLUMN()-6</f>
        <v>Data Lin 2</v>
      </c>
      <c r="I1" s="33" t="str">
        <f>"Data Lin "&amp;COLUMN()-6</f>
        <v>Data Lin 3</v>
      </c>
      <c r="J1" s="33" t="str">
        <f>"Data Lin "&amp;COLUMN()-6</f>
        <v>Data Lin 4</v>
      </c>
      <c r="K1" s="33" t="str">
        <f>"Data Lin "&amp;COLUMN()-6</f>
        <v>Data Lin 5</v>
      </c>
      <c r="L1" s="33" t="str">
        <f>"Data Lin "&amp;COLUMN()-6</f>
        <v>Data Lin 6</v>
      </c>
    </row>
    <row r="2" spans="1:12" ht="30" customHeight="1">
      <c r="A2" s="9" t="s">
        <v>1054</v>
      </c>
      <c r="B2" s="16">
        <f t="shared" ref="B2:B7" si="0">COUNTIF(E:E,E2)</f>
        <v>0</v>
      </c>
      <c r="C2" s="16">
        <v>0</v>
      </c>
      <c r="F2" s="23"/>
      <c r="G2" s="14" t="str">
        <f>"CREATE VIEW Kolding_LTS.["&amp;A2&amp;"] as select "</f>
        <v xml:space="preserve">CREATE VIEW Kolding_LTS.[cont_size] as select </v>
      </c>
    </row>
    <row r="3" spans="1:12">
      <c r="A3" s="9" t="str">
        <f t="shared" ref="A3:A8" si="1">A2</f>
        <v>cont_size</v>
      </c>
      <c r="B3" s="16">
        <f t="shared" si="0"/>
        <v>2</v>
      </c>
      <c r="C3" s="16">
        <v>1</v>
      </c>
      <c r="D3" s="16">
        <v>0</v>
      </c>
      <c r="E3" s="9" t="s">
        <v>1114</v>
      </c>
      <c r="F3" s="17" t="s">
        <v>904</v>
      </c>
      <c r="G3" s="7" t="str">
        <f>"    ["&amp;E3 &amp;"] = CONVERT("&amp;F3&amp;",Column" &amp;C3&amp;"),"</f>
        <v xml:space="preserve">    [Unit] = CONVERT(smallint,Column1),</v>
      </c>
      <c r="H3" s="5">
        <v>20</v>
      </c>
      <c r="I3" s="5">
        <v>30</v>
      </c>
      <c r="J3" s="5">
        <v>38</v>
      </c>
      <c r="K3" s="5">
        <v>40</v>
      </c>
      <c r="L3" s="5">
        <v>46</v>
      </c>
    </row>
    <row r="4" spans="1:12">
      <c r="A4" s="9" t="str">
        <f t="shared" si="1"/>
        <v>cont_size</v>
      </c>
      <c r="B4" s="16">
        <f t="shared" si="0"/>
        <v>1</v>
      </c>
      <c r="C4" s="16">
        <v>2</v>
      </c>
      <c r="D4" s="16">
        <v>1</v>
      </c>
      <c r="E4" s="9" t="s">
        <v>1181</v>
      </c>
      <c r="F4" s="17" t="s">
        <v>905</v>
      </c>
      <c r="G4" s="7" t="str">
        <f>"    ["&amp;E4 &amp;"] = CONVERT("&amp;F4&amp;",Column" &amp;C4&amp;"),"</f>
        <v xml:space="preserve">    [Parm P] = CONVERT(varchar(1),Column2),</v>
      </c>
      <c r="H4" s="5" t="s">
        <v>690</v>
      </c>
      <c r="I4" s="5" t="s">
        <v>690</v>
      </c>
      <c r="J4" s="5" t="s">
        <v>690</v>
      </c>
      <c r="K4" s="5" t="s">
        <v>690</v>
      </c>
      <c r="L4" s="5" t="s">
        <v>690</v>
      </c>
    </row>
    <row r="5" spans="1:12">
      <c r="A5" s="9" t="str">
        <f t="shared" si="1"/>
        <v>cont_size</v>
      </c>
      <c r="B5" s="16">
        <f t="shared" si="0"/>
        <v>1</v>
      </c>
      <c r="C5" s="16">
        <v>3</v>
      </c>
      <c r="D5" s="16">
        <v>2</v>
      </c>
      <c r="E5" s="9" t="s">
        <v>1182</v>
      </c>
      <c r="F5" s="17" t="s">
        <v>906</v>
      </c>
      <c r="G5" s="7" t="str">
        <f>"    ["&amp;E5 &amp;"] = CONVERT("&amp;F5&amp;",Column" &amp;C5&amp;"),"</f>
        <v xml:space="preserve">    [Size 1] = CONVERT(int,Column3),</v>
      </c>
      <c r="H5" s="5">
        <v>750000</v>
      </c>
      <c r="I5" s="5">
        <v>750000</v>
      </c>
      <c r="J5" s="5">
        <v>750000</v>
      </c>
      <c r="K5" s="5">
        <v>750000</v>
      </c>
      <c r="L5" s="5">
        <v>750000</v>
      </c>
    </row>
    <row r="6" spans="1:12">
      <c r="A6" s="9" t="str">
        <f t="shared" si="1"/>
        <v>cont_size</v>
      </c>
      <c r="B6" s="16">
        <f t="shared" si="0"/>
        <v>1</v>
      </c>
      <c r="C6" s="16">
        <v>4</v>
      </c>
      <c r="D6" s="16">
        <v>3</v>
      </c>
      <c r="E6" s="9" t="s">
        <v>1183</v>
      </c>
      <c r="F6" s="17" t="s">
        <v>906</v>
      </c>
      <c r="G6" s="7" t="str">
        <f>"    ["&amp;E6 &amp;"] = CONVERT("&amp;F6&amp;",Column" &amp;C6&amp;"),"</f>
        <v xml:space="preserve">    [Size 2] = CONVERT(int,Column4),</v>
      </c>
      <c r="H6" s="5">
        <v>850000</v>
      </c>
      <c r="I6" s="5">
        <v>850000</v>
      </c>
      <c r="J6" s="5">
        <v>850000</v>
      </c>
      <c r="K6" s="5">
        <v>850000</v>
      </c>
      <c r="L6" s="5">
        <v>850000</v>
      </c>
    </row>
    <row r="7" spans="1:12">
      <c r="A7" s="9" t="str">
        <f t="shared" si="1"/>
        <v>cont_size</v>
      </c>
      <c r="B7" s="16">
        <f t="shared" si="0"/>
        <v>4</v>
      </c>
      <c r="C7" s="16">
        <v>5</v>
      </c>
      <c r="D7" s="16">
        <v>4</v>
      </c>
      <c r="E7" s="9" t="s">
        <v>1104</v>
      </c>
      <c r="F7" s="17" t="s">
        <v>904</v>
      </c>
      <c r="G7" s="7" t="str">
        <f>"    ["&amp;E7 &amp;"] = CONVERT("&amp;F7&amp;",Column" &amp;C7&amp;"),"</f>
        <v xml:space="preserve">    [Parm 4] = CONVERT(smallint,Column5),</v>
      </c>
      <c r="H7" s="5">
        <v>4</v>
      </c>
      <c r="I7" s="5">
        <v>4</v>
      </c>
      <c r="J7" s="5">
        <v>4</v>
      </c>
      <c r="K7" s="5">
        <v>4</v>
      </c>
      <c r="L7" s="5">
        <v>4</v>
      </c>
    </row>
    <row r="8" spans="1:12">
      <c r="A8" s="9" t="str">
        <f t="shared" si="1"/>
        <v>cont_size</v>
      </c>
      <c r="C8" s="16">
        <v>0</v>
      </c>
      <c r="G8" s="7" t="str">
        <f>"FROM Kolding.["&amp;A8&amp;"]"</f>
        <v>FROM Kolding.[cont_size]</v>
      </c>
    </row>
    <row r="9" spans="1:12" ht="30" customHeight="1">
      <c r="A9" s="9" t="s">
        <v>1055</v>
      </c>
      <c r="B9" s="16">
        <f t="shared" ref="B9:B29" si="2">COUNTIF(E:E,E9)</f>
        <v>0</v>
      </c>
      <c r="C9" s="16">
        <v>0</v>
      </c>
      <c r="G9" s="14" t="str">
        <f>"CREATE VIEW Kolding_LTS.["&amp;A9&amp;"] as select "</f>
        <v xml:space="preserve">CREATE VIEW Kolding_LTS.[cont_type] as select </v>
      </c>
    </row>
    <row r="10" spans="1:12">
      <c r="A10" s="9" t="str">
        <f>A9</f>
        <v>cont_type</v>
      </c>
      <c r="B10" s="16">
        <f t="shared" si="2"/>
        <v>6</v>
      </c>
      <c r="C10" s="16">
        <v>1</v>
      </c>
      <c r="D10" s="16">
        <v>0</v>
      </c>
      <c r="E10" s="9" t="s">
        <v>1101</v>
      </c>
      <c r="F10" s="17" t="s">
        <v>907</v>
      </c>
      <c r="G10" s="7" t="str">
        <f t="shared" ref="G10:G29" si="3">"    ["&amp;E10 &amp;"] = CONVERT("&amp;F10&amp;",Column" &amp;C10&amp;"),"</f>
        <v xml:space="preserve">    [Parm 1] = CONVERT(Int,Column1),</v>
      </c>
      <c r="H10" s="5">
        <v>0</v>
      </c>
      <c r="I10" s="5">
        <v>0</v>
      </c>
      <c r="J10" s="5">
        <v>500000</v>
      </c>
      <c r="K10" s="5">
        <v>20000000</v>
      </c>
      <c r="L10" s="5">
        <v>241000</v>
      </c>
    </row>
    <row r="11" spans="1:12">
      <c r="A11" s="9" t="str">
        <f t="shared" ref="A11:A30" si="4">A10</f>
        <v>cont_type</v>
      </c>
      <c r="B11" s="16">
        <f t="shared" si="2"/>
        <v>6</v>
      </c>
      <c r="C11" s="16">
        <v>2</v>
      </c>
      <c r="D11" s="16">
        <v>1</v>
      </c>
      <c r="E11" s="9" t="s">
        <v>1102</v>
      </c>
      <c r="F11" s="17" t="s">
        <v>907</v>
      </c>
      <c r="G11" s="7" t="str">
        <f t="shared" si="3"/>
        <v xml:space="preserve">    [Parm 2] = CONVERT(Int,Column2),</v>
      </c>
      <c r="H11" s="5">
        <v>200000000</v>
      </c>
      <c r="I11" s="5">
        <v>150000000</v>
      </c>
      <c r="J11" s="5">
        <v>16000000</v>
      </c>
      <c r="K11" s="5">
        <v>10000000000</v>
      </c>
      <c r="L11" s="5">
        <v>16000000</v>
      </c>
    </row>
    <row r="12" spans="1:12">
      <c r="A12" s="9" t="str">
        <f t="shared" si="4"/>
        <v>cont_type</v>
      </c>
      <c r="B12" s="16">
        <f t="shared" si="2"/>
        <v>5</v>
      </c>
      <c r="C12" s="16">
        <v>3</v>
      </c>
      <c r="D12" s="16">
        <v>2</v>
      </c>
      <c r="E12" s="9" t="s">
        <v>1103</v>
      </c>
      <c r="F12" s="17" t="s">
        <v>907</v>
      </c>
      <c r="G12" s="7" t="str">
        <f t="shared" si="3"/>
        <v xml:space="preserve">    [Parm 3] = CONVERT(Int,Column3),</v>
      </c>
      <c r="H12" s="5">
        <v>500000</v>
      </c>
      <c r="I12" s="5">
        <v>500000</v>
      </c>
      <c r="J12" s="5">
        <v>260000</v>
      </c>
      <c r="K12" s="5">
        <v>20000000</v>
      </c>
      <c r="L12" s="5">
        <v>135000</v>
      </c>
    </row>
    <row r="13" spans="1:12">
      <c r="A13" s="9" t="str">
        <f t="shared" si="4"/>
        <v>cont_type</v>
      </c>
      <c r="B13" s="16">
        <f t="shared" si="2"/>
        <v>4</v>
      </c>
      <c r="C13" s="16">
        <v>4</v>
      </c>
      <c r="D13" s="16">
        <v>3</v>
      </c>
      <c r="E13" s="9" t="s">
        <v>1104</v>
      </c>
      <c r="F13" s="17" t="s">
        <v>907</v>
      </c>
      <c r="G13" s="7" t="str">
        <f t="shared" si="3"/>
        <v xml:space="preserve">    [Parm 4] = CONVERT(Int,Column4),</v>
      </c>
      <c r="H13" s="5">
        <v>190000</v>
      </c>
      <c r="I13" s="5">
        <v>190000</v>
      </c>
      <c r="J13" s="5">
        <v>250000</v>
      </c>
      <c r="K13" s="5">
        <v>3000000</v>
      </c>
      <c r="L13" s="5">
        <v>125000</v>
      </c>
    </row>
    <row r="14" spans="1:12">
      <c r="A14" s="9" t="str">
        <f t="shared" si="4"/>
        <v>cont_type</v>
      </c>
      <c r="B14" s="16">
        <f t="shared" si="2"/>
        <v>3</v>
      </c>
      <c r="C14" s="16">
        <v>5</v>
      </c>
      <c r="D14" s="16">
        <v>4</v>
      </c>
      <c r="E14" s="9" t="s">
        <v>1105</v>
      </c>
      <c r="F14" s="17" t="s">
        <v>907</v>
      </c>
      <c r="G14" s="7" t="str">
        <f t="shared" si="3"/>
        <v xml:space="preserve">    [Parm 5] = CONVERT(Int,Column5),</v>
      </c>
      <c r="H14" s="5">
        <v>525000</v>
      </c>
      <c r="I14" s="5">
        <v>365000</v>
      </c>
      <c r="J14" s="5">
        <v>285000</v>
      </c>
      <c r="K14" s="5">
        <v>800000</v>
      </c>
      <c r="L14" s="5">
        <v>285000</v>
      </c>
    </row>
    <row r="15" spans="1:12">
      <c r="A15" s="9" t="str">
        <f t="shared" si="4"/>
        <v>cont_type</v>
      </c>
      <c r="B15" s="16">
        <f t="shared" si="2"/>
        <v>3</v>
      </c>
      <c r="C15" s="16">
        <v>6</v>
      </c>
      <c r="D15" s="16">
        <v>5</v>
      </c>
      <c r="E15" s="9" t="s">
        <v>1106</v>
      </c>
      <c r="F15" s="17" t="s">
        <v>907</v>
      </c>
      <c r="G15" s="7" t="str">
        <f t="shared" si="3"/>
        <v xml:space="preserve">    [Parm 6] = CONVERT(Int,Column6),</v>
      </c>
      <c r="H15" s="5">
        <v>780000</v>
      </c>
      <c r="I15" s="5">
        <v>780000</v>
      </c>
      <c r="J15" s="5">
        <v>440000</v>
      </c>
      <c r="K15" s="5">
        <v>1200000</v>
      </c>
      <c r="L15" s="5">
        <v>440000</v>
      </c>
    </row>
    <row r="16" spans="1:12">
      <c r="A16" s="9" t="str">
        <f t="shared" si="4"/>
        <v>cont_type</v>
      </c>
      <c r="B16" s="16">
        <f t="shared" si="2"/>
        <v>3</v>
      </c>
      <c r="C16" s="16">
        <v>7</v>
      </c>
      <c r="D16" s="16">
        <v>6</v>
      </c>
      <c r="E16" s="9" t="s">
        <v>1107</v>
      </c>
      <c r="F16" s="17" t="s">
        <v>907</v>
      </c>
      <c r="G16" s="7" t="str">
        <f t="shared" si="3"/>
        <v xml:space="preserve">    [Parm 7] = CONVERT(Int,Column7),</v>
      </c>
      <c r="H16" s="5">
        <v>200000</v>
      </c>
      <c r="I16" s="5">
        <v>200000</v>
      </c>
      <c r="J16" s="5">
        <v>260000</v>
      </c>
      <c r="K16" s="5">
        <v>3000000</v>
      </c>
      <c r="L16" s="5">
        <v>135000</v>
      </c>
    </row>
    <row r="17" spans="1:12">
      <c r="A17" s="9" t="str">
        <f t="shared" si="4"/>
        <v>cont_type</v>
      </c>
      <c r="B17" s="16">
        <f t="shared" si="2"/>
        <v>3</v>
      </c>
      <c r="C17" s="16">
        <v>8</v>
      </c>
      <c r="D17" s="16">
        <v>7</v>
      </c>
      <c r="E17" s="9" t="s">
        <v>1108</v>
      </c>
      <c r="F17" s="17" t="s">
        <v>907</v>
      </c>
      <c r="G17" s="7" t="str">
        <f t="shared" si="3"/>
        <v xml:space="preserve">    [Parm 8] = CONVERT(Int,Column8),</v>
      </c>
      <c r="H17" s="5">
        <v>535000</v>
      </c>
      <c r="I17" s="5">
        <v>375000</v>
      </c>
      <c r="J17" s="5">
        <v>300000</v>
      </c>
      <c r="K17" s="5">
        <v>800000</v>
      </c>
      <c r="L17" s="5">
        <v>300000</v>
      </c>
    </row>
    <row r="18" spans="1:12">
      <c r="A18" s="9" t="str">
        <f t="shared" si="4"/>
        <v>cont_type</v>
      </c>
      <c r="B18" s="16">
        <f t="shared" si="2"/>
        <v>2</v>
      </c>
      <c r="C18" s="16">
        <v>9</v>
      </c>
      <c r="D18" s="16">
        <v>8</v>
      </c>
      <c r="E18" s="9" t="s">
        <v>1109</v>
      </c>
      <c r="F18" s="17" t="s">
        <v>907</v>
      </c>
      <c r="G18" s="7" t="str">
        <f t="shared" si="3"/>
        <v xml:space="preserve">    [Parm 9] = CONVERT(Int,Column9),</v>
      </c>
      <c r="H18" s="5">
        <v>790000</v>
      </c>
      <c r="I18" s="5">
        <v>790000</v>
      </c>
      <c r="J18" s="5">
        <v>450000</v>
      </c>
      <c r="K18" s="5">
        <v>1200000</v>
      </c>
      <c r="L18" s="5">
        <v>450000</v>
      </c>
    </row>
    <row r="19" spans="1:12">
      <c r="A19" s="9" t="str">
        <f t="shared" si="4"/>
        <v>cont_type</v>
      </c>
      <c r="B19" s="16">
        <f t="shared" si="2"/>
        <v>9</v>
      </c>
      <c r="C19" s="16">
        <v>10</v>
      </c>
      <c r="D19" s="16">
        <v>9</v>
      </c>
      <c r="E19" s="9" t="s">
        <v>163</v>
      </c>
      <c r="F19" s="17" t="s">
        <v>908</v>
      </c>
      <c r="G19" s="7" t="str">
        <f t="shared" si="3"/>
        <v xml:space="preserve">    [Type] = CONVERT(varchar(5),Column10),</v>
      </c>
      <c r="H19" s="5" t="s">
        <v>910</v>
      </c>
      <c r="I19" s="5" t="s">
        <v>915</v>
      </c>
      <c r="J19" s="5" t="s">
        <v>917</v>
      </c>
      <c r="K19" s="5" t="s">
        <v>921</v>
      </c>
      <c r="L19" s="5" t="s">
        <v>924</v>
      </c>
    </row>
    <row r="20" spans="1:12">
      <c r="A20" s="9" t="str">
        <f t="shared" si="4"/>
        <v>cont_type</v>
      </c>
      <c r="B20" s="16">
        <f t="shared" si="2"/>
        <v>1</v>
      </c>
      <c r="C20" s="16">
        <v>11</v>
      </c>
      <c r="D20" s="16">
        <v>10</v>
      </c>
      <c r="E20" s="9" t="s">
        <v>1092</v>
      </c>
      <c r="F20" s="17" t="s">
        <v>905</v>
      </c>
      <c r="G20" s="7" t="str">
        <f t="shared" si="3"/>
        <v xml:space="preserve">    [LU] = CONVERT(varchar(1),Column11),</v>
      </c>
      <c r="H20" s="5" t="s">
        <v>911</v>
      </c>
      <c r="I20" s="5" t="s">
        <v>911</v>
      </c>
      <c r="J20" s="5" t="s">
        <v>911</v>
      </c>
      <c r="K20" s="5" t="s">
        <v>298</v>
      </c>
      <c r="L20" s="5" t="s">
        <v>911</v>
      </c>
    </row>
    <row r="21" spans="1:12">
      <c r="A21" s="9" t="str">
        <f t="shared" si="4"/>
        <v>cont_type</v>
      </c>
      <c r="B21" s="16">
        <f t="shared" si="2"/>
        <v>1</v>
      </c>
      <c r="C21" s="16">
        <v>12</v>
      </c>
      <c r="D21" s="16">
        <v>11</v>
      </c>
      <c r="E21" s="9" t="s">
        <v>1093</v>
      </c>
      <c r="F21" s="17" t="s">
        <v>905</v>
      </c>
      <c r="G21" s="7" t="str">
        <f t="shared" si="3"/>
        <v xml:space="preserve">    [Size] = CONVERT(varchar(1),Column12),</v>
      </c>
      <c r="H21" s="5" t="s">
        <v>912</v>
      </c>
      <c r="I21" s="5" t="s">
        <v>912</v>
      </c>
      <c r="J21" s="5" t="s">
        <v>918</v>
      </c>
      <c r="K21" s="5" t="s">
        <v>912</v>
      </c>
      <c r="L21" s="5" t="s">
        <v>918</v>
      </c>
    </row>
    <row r="22" spans="1:12">
      <c r="A22" s="9" t="str">
        <f t="shared" si="4"/>
        <v>cont_type</v>
      </c>
      <c r="B22" s="16">
        <f t="shared" si="2"/>
        <v>1</v>
      </c>
      <c r="C22" s="16">
        <v>13</v>
      </c>
      <c r="D22" s="16">
        <v>12</v>
      </c>
      <c r="E22" s="9" t="s">
        <v>1094</v>
      </c>
      <c r="F22" s="17" t="s">
        <v>904</v>
      </c>
      <c r="G22" s="7" t="str">
        <f t="shared" si="3"/>
        <v xml:space="preserve">    [Sice No] = CONVERT(smallint,Column13),</v>
      </c>
      <c r="H22" s="5" t="s">
        <v>912</v>
      </c>
      <c r="I22" s="5" t="s">
        <v>912</v>
      </c>
      <c r="J22" s="5">
        <v>1</v>
      </c>
      <c r="K22" s="5" t="s">
        <v>912</v>
      </c>
      <c r="L22" s="5">
        <v>1</v>
      </c>
    </row>
    <row r="23" spans="1:12">
      <c r="A23" s="9" t="str">
        <f t="shared" si="4"/>
        <v>cont_type</v>
      </c>
      <c r="B23" s="16">
        <f t="shared" si="2"/>
        <v>7</v>
      </c>
      <c r="C23" s="16">
        <v>14</v>
      </c>
      <c r="D23" s="16">
        <v>13</v>
      </c>
      <c r="E23" s="9" t="s">
        <v>98</v>
      </c>
      <c r="F23" s="17" t="s">
        <v>909</v>
      </c>
      <c r="G23" s="7" t="str">
        <f t="shared" si="3"/>
        <v xml:space="preserve">    [Description] = CONVERT(varchar(20),Column14),</v>
      </c>
      <c r="H23" s="5" t="s">
        <v>913</v>
      </c>
      <c r="I23" s="5" t="s">
        <v>916</v>
      </c>
      <c r="J23" s="5" t="s">
        <v>919</v>
      </c>
      <c r="K23" s="5" t="s">
        <v>922</v>
      </c>
      <c r="L23" s="5" t="s">
        <v>925</v>
      </c>
    </row>
    <row r="24" spans="1:12">
      <c r="A24" s="9" t="str">
        <f t="shared" si="4"/>
        <v>cont_type</v>
      </c>
      <c r="B24" s="16">
        <f t="shared" si="2"/>
        <v>4</v>
      </c>
      <c r="C24" s="16">
        <v>15</v>
      </c>
      <c r="D24" s="16">
        <v>14</v>
      </c>
      <c r="E24" s="9" t="s">
        <v>1095</v>
      </c>
      <c r="F24" s="17" t="s">
        <v>904</v>
      </c>
      <c r="G24" s="7" t="str">
        <f t="shared" si="3"/>
        <v xml:space="preserve">    [Null] = CONVERT(smallint,Column15),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</row>
    <row r="25" spans="1:12">
      <c r="A25" s="9" t="str">
        <f t="shared" si="4"/>
        <v>cont_type</v>
      </c>
      <c r="B25" s="16">
        <f t="shared" si="2"/>
        <v>3</v>
      </c>
      <c r="C25" s="16">
        <v>16</v>
      </c>
      <c r="D25" s="16">
        <v>15</v>
      </c>
      <c r="E25" s="9" t="s">
        <v>1096</v>
      </c>
      <c r="F25" s="17" t="s">
        <v>908</v>
      </c>
      <c r="G25" s="7" t="str">
        <f t="shared" si="3"/>
        <v xml:space="preserve">    [Handling] = CONVERT(varchar(5),Column16),</v>
      </c>
      <c r="H25" s="5" t="s">
        <v>914</v>
      </c>
      <c r="I25" s="5" t="s">
        <v>914</v>
      </c>
      <c r="J25" s="5" t="s">
        <v>920</v>
      </c>
      <c r="K25" s="5" t="s">
        <v>923</v>
      </c>
      <c r="L25" s="5" t="s">
        <v>920</v>
      </c>
    </row>
    <row r="26" spans="1:12">
      <c r="A26" s="9" t="str">
        <f t="shared" si="4"/>
        <v>cont_type</v>
      </c>
      <c r="B26" s="16">
        <f t="shared" si="2"/>
        <v>1</v>
      </c>
      <c r="C26" s="16">
        <v>17</v>
      </c>
      <c r="D26" s="16">
        <v>16</v>
      </c>
      <c r="E26" s="9" t="s">
        <v>1097</v>
      </c>
      <c r="F26" s="17" t="s">
        <v>904</v>
      </c>
      <c r="G26" s="7" t="str">
        <f t="shared" si="3"/>
        <v xml:space="preserve">    [Hand 1] = CONVERT(smallint,Column17),</v>
      </c>
      <c r="H26" s="5">
        <v>3</v>
      </c>
      <c r="I26" s="5">
        <v>3</v>
      </c>
      <c r="J26" s="5">
        <v>10</v>
      </c>
      <c r="K26" s="5">
        <v>11</v>
      </c>
      <c r="L26" s="5">
        <v>10</v>
      </c>
    </row>
    <row r="27" spans="1:12">
      <c r="A27" s="9" t="str">
        <f t="shared" si="4"/>
        <v>cont_type</v>
      </c>
      <c r="B27" s="16">
        <f t="shared" si="2"/>
        <v>1</v>
      </c>
      <c r="C27" s="16">
        <v>18</v>
      </c>
      <c r="D27" s="16">
        <v>17</v>
      </c>
      <c r="E27" s="9" t="s">
        <v>1098</v>
      </c>
      <c r="F27" s="17" t="s">
        <v>904</v>
      </c>
      <c r="G27" s="7" t="str">
        <f t="shared" si="3"/>
        <v xml:space="preserve">    [Hand 2] = CONVERT(smallint,Column18),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</row>
    <row r="28" spans="1:12">
      <c r="A28" s="9" t="str">
        <f t="shared" si="4"/>
        <v>cont_type</v>
      </c>
      <c r="B28" s="16">
        <f t="shared" si="2"/>
        <v>1</v>
      </c>
      <c r="C28" s="16">
        <v>19</v>
      </c>
      <c r="D28" s="16">
        <v>18</v>
      </c>
      <c r="E28" s="9" t="s">
        <v>1099</v>
      </c>
      <c r="F28" s="17" t="s">
        <v>904</v>
      </c>
      <c r="G28" s="7" t="str">
        <f t="shared" si="3"/>
        <v xml:space="preserve">    [Hand 3] = CONVERT(smallint,Column19),</v>
      </c>
      <c r="H28" s="5">
        <v>14</v>
      </c>
      <c r="I28" s="5">
        <v>14</v>
      </c>
      <c r="J28" s="5">
        <v>1</v>
      </c>
      <c r="K28" s="5">
        <v>0</v>
      </c>
      <c r="L28" s="5">
        <v>1</v>
      </c>
    </row>
    <row r="29" spans="1:12">
      <c r="A29" s="9" t="str">
        <f t="shared" si="4"/>
        <v>cont_type</v>
      </c>
      <c r="B29" s="16">
        <f t="shared" si="2"/>
        <v>1</v>
      </c>
      <c r="C29" s="16">
        <v>20</v>
      </c>
      <c r="D29" s="16">
        <v>19</v>
      </c>
      <c r="E29" s="9" t="s">
        <v>1100</v>
      </c>
      <c r="F29" s="17" t="s">
        <v>904</v>
      </c>
      <c r="G29" s="7" t="str">
        <f t="shared" si="3"/>
        <v xml:space="preserve">    [Hand 4] = CONVERT(smallint,Column20),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</row>
    <row r="30" spans="1:12">
      <c r="A30" s="9" t="str">
        <f t="shared" si="4"/>
        <v>cont_type</v>
      </c>
      <c r="G30" s="7" t="str">
        <f>"FROM Kolding.["&amp;A30&amp;"]"</f>
        <v>FROM Kolding.[cont_type]</v>
      </c>
    </row>
    <row r="31" spans="1:12" ht="30" customHeight="1">
      <c r="A31" s="9" t="s">
        <v>1056</v>
      </c>
      <c r="B31" s="16">
        <f t="shared" ref="B31:B58" si="5">COUNTIF(E:E,E31)</f>
        <v>0</v>
      </c>
      <c r="C31" s="16">
        <v>0</v>
      </c>
      <c r="E31" s="6"/>
      <c r="F31" s="23"/>
      <c r="G31" s="14" t="str">
        <f>"CREATE VIEW Kolding_LTS.["&amp;A31&amp;"] as select "</f>
        <v xml:space="preserve">CREATE VIEW Kolding_LTS.[container] as select </v>
      </c>
    </row>
    <row r="32" spans="1:12">
      <c r="A32" s="9" t="s">
        <v>1056</v>
      </c>
      <c r="B32" s="16">
        <f t="shared" si="5"/>
        <v>4</v>
      </c>
      <c r="C32" s="16">
        <v>1</v>
      </c>
      <c r="D32" s="16">
        <v>0</v>
      </c>
      <c r="E32" s="7" t="s">
        <v>1</v>
      </c>
      <c r="F32" s="23" t="s">
        <v>928</v>
      </c>
      <c r="G32" s="7" t="str">
        <f t="shared" ref="G32:G98" si="6">"    ["&amp;E32 &amp;"] = CONVERT("&amp;F32&amp;",Column" &amp;C32&amp;"),"</f>
        <v xml:space="preserve">    [Location] = CONVERT(varchar(12),Column1),</v>
      </c>
      <c r="H32" s="22" t="s">
        <v>216</v>
      </c>
      <c r="I32" s="22" t="s">
        <v>217</v>
      </c>
      <c r="J32" s="22" t="s">
        <v>218</v>
      </c>
      <c r="K32" s="22" t="s">
        <v>219</v>
      </c>
      <c r="L32" s="22" t="s">
        <v>220</v>
      </c>
    </row>
    <row r="33" spans="1:12">
      <c r="A33" s="9" t="s">
        <v>1056</v>
      </c>
      <c r="B33" s="16">
        <f t="shared" si="5"/>
        <v>1</v>
      </c>
      <c r="C33" s="16">
        <v>2</v>
      </c>
      <c r="D33" s="16">
        <v>1</v>
      </c>
      <c r="E33" s="10" t="s">
        <v>2</v>
      </c>
      <c r="F33" s="23" t="s">
        <v>929</v>
      </c>
      <c r="G33" s="7" t="str">
        <f t="shared" si="6"/>
        <v xml:space="preserve">    [Storage Date] = CONVERT(datetime,Column2),</v>
      </c>
      <c r="H33" s="22" t="s">
        <v>221</v>
      </c>
      <c r="I33" s="22" t="s">
        <v>222</v>
      </c>
      <c r="J33" s="22" t="s">
        <v>223</v>
      </c>
      <c r="K33" s="22" t="s">
        <v>224</v>
      </c>
      <c r="L33" s="22" t="s">
        <v>225</v>
      </c>
    </row>
    <row r="34" spans="1:12">
      <c r="A34" s="9" t="s">
        <v>1056</v>
      </c>
      <c r="B34" s="16">
        <f t="shared" si="5"/>
        <v>2</v>
      </c>
      <c r="C34" s="16">
        <v>3</v>
      </c>
      <c r="D34" s="16">
        <v>2</v>
      </c>
      <c r="E34" s="7" t="s">
        <v>3</v>
      </c>
      <c r="F34" s="23" t="s">
        <v>929</v>
      </c>
      <c r="G34" s="7" t="str">
        <f t="shared" si="6"/>
        <v xml:space="preserve">    [Audit Time] = CONVERT(datetime,Column3),</v>
      </c>
      <c r="H34" s="22" t="s">
        <v>226</v>
      </c>
      <c r="I34" s="22" t="s">
        <v>227</v>
      </c>
      <c r="J34" s="22" t="s">
        <v>228</v>
      </c>
      <c r="K34" s="22" t="s">
        <v>229</v>
      </c>
      <c r="L34" s="22" t="s">
        <v>230</v>
      </c>
    </row>
    <row r="35" spans="1:12">
      <c r="A35" s="9" t="s">
        <v>1056</v>
      </c>
      <c r="B35" s="16">
        <f t="shared" si="5"/>
        <v>1</v>
      </c>
      <c r="C35" s="16">
        <v>4</v>
      </c>
      <c r="D35" s="16">
        <v>3</v>
      </c>
      <c r="E35" s="10" t="s">
        <v>4</v>
      </c>
      <c r="F35" s="23" t="s">
        <v>904</v>
      </c>
      <c r="G35" s="7" t="str">
        <f t="shared" si="6"/>
        <v xml:space="preserve">    [Audit Ref] = CONVERT(smallint,Column4),</v>
      </c>
      <c r="H35" s="22" t="s">
        <v>231</v>
      </c>
      <c r="I35" s="22" t="s">
        <v>231</v>
      </c>
      <c r="J35" s="22" t="s">
        <v>231</v>
      </c>
      <c r="K35" s="22" t="s">
        <v>231</v>
      </c>
      <c r="L35" s="22" t="s">
        <v>231</v>
      </c>
    </row>
    <row r="36" spans="1:12">
      <c r="A36" s="9" t="s">
        <v>1056</v>
      </c>
      <c r="B36" s="16">
        <f t="shared" si="5"/>
        <v>4</v>
      </c>
      <c r="C36" s="16">
        <v>5</v>
      </c>
      <c r="D36" s="16">
        <v>4</v>
      </c>
      <c r="E36" s="7" t="s">
        <v>5</v>
      </c>
      <c r="F36" s="23" t="s">
        <v>906</v>
      </c>
      <c r="G36" s="7" t="str">
        <f t="shared" si="6"/>
        <v xml:space="preserve">    [Weight] = CONVERT(int,Column5),</v>
      </c>
      <c r="H36" s="22">
        <v>959</v>
      </c>
      <c r="I36" s="22">
        <v>1184</v>
      </c>
      <c r="J36" s="22">
        <v>2973.8</v>
      </c>
      <c r="K36" s="22">
        <v>1039.9000000000001</v>
      </c>
      <c r="L36" s="22">
        <v>1250</v>
      </c>
    </row>
    <row r="37" spans="1:12">
      <c r="A37" s="9" t="s">
        <v>1056</v>
      </c>
      <c r="B37" s="16">
        <f t="shared" si="5"/>
        <v>3</v>
      </c>
      <c r="C37" s="16">
        <v>6</v>
      </c>
      <c r="D37" s="16">
        <v>5</v>
      </c>
      <c r="E37" s="7" t="s">
        <v>6</v>
      </c>
      <c r="F37" s="23" t="s">
        <v>906</v>
      </c>
      <c r="G37" s="7" t="str">
        <f t="shared" si="6"/>
        <v xml:space="preserve">    [Height] = CONVERT(int,Column6),</v>
      </c>
      <c r="H37" s="22">
        <v>135</v>
      </c>
      <c r="I37" s="22">
        <v>135</v>
      </c>
      <c r="J37" s="22">
        <v>135</v>
      </c>
      <c r="K37" s="22">
        <v>135</v>
      </c>
      <c r="L37" s="22">
        <v>135</v>
      </c>
    </row>
    <row r="38" spans="1:12">
      <c r="A38" s="9" t="s">
        <v>1056</v>
      </c>
      <c r="B38" s="16">
        <f t="shared" si="5"/>
        <v>1</v>
      </c>
      <c r="C38" s="16">
        <v>7</v>
      </c>
      <c r="D38" s="16">
        <v>6</v>
      </c>
      <c r="E38" s="10" t="s">
        <v>7</v>
      </c>
      <c r="F38" s="23" t="s">
        <v>905</v>
      </c>
      <c r="G38" s="7" t="str">
        <f t="shared" si="6"/>
        <v xml:space="preserve">    [Weight Status] = CONVERT(varchar(1),Column7),</v>
      </c>
      <c r="H38" s="22" t="s">
        <v>232</v>
      </c>
      <c r="I38" s="22" t="s">
        <v>232</v>
      </c>
      <c r="J38" s="22" t="s">
        <v>232</v>
      </c>
      <c r="K38" s="22" t="s">
        <v>232</v>
      </c>
      <c r="L38" s="22" t="s">
        <v>232</v>
      </c>
    </row>
    <row r="39" spans="1:12">
      <c r="A39" s="9" t="s">
        <v>1056</v>
      </c>
      <c r="B39" s="16">
        <f t="shared" si="5"/>
        <v>1</v>
      </c>
      <c r="C39" s="16">
        <v>8</v>
      </c>
      <c r="D39" s="16">
        <v>7</v>
      </c>
      <c r="E39" s="10" t="s">
        <v>8</v>
      </c>
      <c r="F39" s="23" t="s">
        <v>905</v>
      </c>
      <c r="G39" s="7" t="str">
        <f t="shared" si="6"/>
        <v xml:space="preserve">    [Height Status] = CONVERT(varchar(1),Column8),</v>
      </c>
      <c r="H39" s="22" t="s">
        <v>232</v>
      </c>
      <c r="I39" s="22" t="s">
        <v>233</v>
      </c>
      <c r="J39" s="22" t="s">
        <v>233</v>
      </c>
      <c r="K39" s="22" t="s">
        <v>233</v>
      </c>
      <c r="L39" s="22" t="s">
        <v>233</v>
      </c>
    </row>
    <row r="40" spans="1:12">
      <c r="A40" s="9" t="s">
        <v>1056</v>
      </c>
      <c r="B40" s="16">
        <f t="shared" si="5"/>
        <v>5</v>
      </c>
      <c r="C40" s="16">
        <v>9</v>
      </c>
      <c r="D40" s="16">
        <v>8</v>
      </c>
      <c r="E40" s="7" t="s">
        <v>9</v>
      </c>
      <c r="F40" s="23" t="s">
        <v>909</v>
      </c>
      <c r="G40" s="7" t="str">
        <f t="shared" si="6"/>
        <v xml:space="preserve">    [Container Id] = CONVERT(varchar(20),Column9),</v>
      </c>
      <c r="H40" s="22" t="s">
        <v>234</v>
      </c>
      <c r="I40" s="22" t="s">
        <v>235</v>
      </c>
      <c r="J40" s="22" t="s">
        <v>236</v>
      </c>
      <c r="K40" s="22" t="s">
        <v>237</v>
      </c>
      <c r="L40" s="22" t="s">
        <v>238</v>
      </c>
    </row>
    <row r="41" spans="1:12">
      <c r="A41" s="9" t="s">
        <v>1056</v>
      </c>
      <c r="B41" s="16">
        <f t="shared" si="5"/>
        <v>1</v>
      </c>
      <c r="C41" s="16">
        <v>10</v>
      </c>
      <c r="D41" s="16">
        <v>9</v>
      </c>
      <c r="E41" s="10" t="s">
        <v>10</v>
      </c>
      <c r="F41" s="23" t="s">
        <v>908</v>
      </c>
      <c r="G41" s="7" t="str">
        <f t="shared" si="6"/>
        <v xml:space="preserve">    [Container Type] = CONVERT(varchar(5),Column10),</v>
      </c>
      <c r="H41" s="22" t="s">
        <v>239</v>
      </c>
      <c r="I41" s="22" t="s">
        <v>239</v>
      </c>
      <c r="J41" s="22" t="s">
        <v>239</v>
      </c>
      <c r="K41" s="22" t="s">
        <v>239</v>
      </c>
      <c r="L41" s="22" t="s">
        <v>240</v>
      </c>
    </row>
    <row r="42" spans="1:12">
      <c r="A42" s="9" t="s">
        <v>1056</v>
      </c>
      <c r="B42" s="16">
        <f t="shared" si="5"/>
        <v>1</v>
      </c>
      <c r="C42" s="16">
        <v>11</v>
      </c>
      <c r="D42" s="16">
        <v>10</v>
      </c>
      <c r="E42" s="10" t="s">
        <v>11</v>
      </c>
      <c r="F42" s="23" t="s">
        <v>909</v>
      </c>
      <c r="G42" s="7" t="str">
        <f t="shared" si="6"/>
        <v xml:space="preserve">    [Holding Container] = CONVERT(varchar(20),Column11),</v>
      </c>
      <c r="H42" s="22" t="s">
        <v>53</v>
      </c>
      <c r="I42" s="22" t="s">
        <v>53</v>
      </c>
      <c r="J42" s="22" t="s">
        <v>53</v>
      </c>
      <c r="K42" s="22" t="s">
        <v>53</v>
      </c>
      <c r="L42" s="22" t="s">
        <v>53</v>
      </c>
    </row>
    <row r="43" spans="1:12">
      <c r="A43" s="9" t="s">
        <v>1056</v>
      </c>
      <c r="B43" s="16">
        <f t="shared" si="5"/>
        <v>2</v>
      </c>
      <c r="C43" s="16">
        <v>12</v>
      </c>
      <c r="D43" s="16">
        <v>11</v>
      </c>
      <c r="E43" s="7" t="s">
        <v>12</v>
      </c>
      <c r="F43" s="23" t="s">
        <v>905</v>
      </c>
      <c r="G43" s="7" t="str">
        <f t="shared" si="6"/>
        <v xml:space="preserve">    [Audit Status] = CONVERT(varchar(1),Column12),</v>
      </c>
      <c r="H43" s="22" t="s">
        <v>53</v>
      </c>
      <c r="I43" s="22" t="s">
        <v>53</v>
      </c>
      <c r="J43" s="22" t="s">
        <v>53</v>
      </c>
      <c r="K43" s="22" t="s">
        <v>53</v>
      </c>
      <c r="L43" s="22" t="s">
        <v>53</v>
      </c>
    </row>
    <row r="44" spans="1:12">
      <c r="A44" s="9" t="s">
        <v>1056</v>
      </c>
      <c r="B44" s="16">
        <f t="shared" si="5"/>
        <v>1</v>
      </c>
      <c r="C44" s="16">
        <v>13</v>
      </c>
      <c r="D44" s="16">
        <v>12</v>
      </c>
      <c r="E44" s="10" t="s">
        <v>13</v>
      </c>
      <c r="F44" s="23" t="s">
        <v>905</v>
      </c>
      <c r="G44" s="7" t="str">
        <f t="shared" si="6"/>
        <v xml:space="preserve">    [Wrapped] = CONVERT(varchar(1),Column13),</v>
      </c>
      <c r="H44" s="22" t="s">
        <v>241</v>
      </c>
      <c r="I44" s="22" t="s">
        <v>241</v>
      </c>
      <c r="J44" s="22" t="s">
        <v>241</v>
      </c>
      <c r="K44" s="22" t="s">
        <v>241</v>
      </c>
      <c r="L44" s="22" t="s">
        <v>241</v>
      </c>
    </row>
    <row r="45" spans="1:12">
      <c r="A45" s="9" t="s">
        <v>1056</v>
      </c>
      <c r="B45" s="16">
        <f t="shared" si="5"/>
        <v>1</v>
      </c>
      <c r="C45" s="16">
        <v>14</v>
      </c>
      <c r="D45" s="16">
        <v>13</v>
      </c>
      <c r="E45" s="10" t="s">
        <v>14</v>
      </c>
      <c r="F45" s="23" t="s">
        <v>905</v>
      </c>
      <c r="G45" s="7" t="str">
        <f t="shared" si="6"/>
        <v xml:space="preserve">    [Labelled] = CONVERT(varchar(1),Column14),</v>
      </c>
      <c r="H45" s="22" t="s">
        <v>241</v>
      </c>
      <c r="I45" s="22" t="s">
        <v>241</v>
      </c>
      <c r="J45" s="22" t="s">
        <v>241</v>
      </c>
      <c r="K45" s="22" t="s">
        <v>241</v>
      </c>
      <c r="L45" s="22" t="s">
        <v>241</v>
      </c>
    </row>
    <row r="46" spans="1:12">
      <c r="A46" s="9" t="s">
        <v>1056</v>
      </c>
      <c r="B46" s="16">
        <f t="shared" si="5"/>
        <v>1</v>
      </c>
      <c r="C46" s="16">
        <v>15</v>
      </c>
      <c r="D46" s="16">
        <v>14</v>
      </c>
      <c r="E46" s="10" t="s">
        <v>15</v>
      </c>
      <c r="F46" s="23" t="s">
        <v>909</v>
      </c>
      <c r="G46" s="7" t="str">
        <f t="shared" si="6"/>
        <v xml:space="preserve">    [Last Move User] = CONVERT(varchar(20),Column15),</v>
      </c>
      <c r="H46" s="22" t="s">
        <v>242</v>
      </c>
      <c r="I46" s="22" t="s">
        <v>243</v>
      </c>
      <c r="J46" s="22" t="s">
        <v>244</v>
      </c>
      <c r="K46" s="22" t="s">
        <v>245</v>
      </c>
      <c r="L46" s="22" t="s">
        <v>246</v>
      </c>
    </row>
    <row r="47" spans="1:12">
      <c r="A47" s="9" t="s">
        <v>1056</v>
      </c>
      <c r="B47" s="16">
        <f t="shared" si="5"/>
        <v>1</v>
      </c>
      <c r="C47" s="16">
        <v>16</v>
      </c>
      <c r="D47" s="16">
        <v>15</v>
      </c>
      <c r="E47" s="10" t="s">
        <v>16</v>
      </c>
      <c r="F47" s="23" t="s">
        <v>905</v>
      </c>
      <c r="G47" s="7" t="str">
        <f t="shared" si="6"/>
        <v xml:space="preserve">    [Picked] = CONVERT(varchar(1),Column16),</v>
      </c>
      <c r="H47" s="22" t="s">
        <v>247</v>
      </c>
      <c r="I47" s="22" t="s">
        <v>247</v>
      </c>
      <c r="J47" s="22" t="s">
        <v>247</v>
      </c>
      <c r="K47" s="22" t="s">
        <v>247</v>
      </c>
      <c r="L47" s="22" t="s">
        <v>247</v>
      </c>
    </row>
    <row r="48" spans="1:12">
      <c r="A48" s="9" t="s">
        <v>1056</v>
      </c>
      <c r="B48" s="16">
        <f t="shared" si="5"/>
        <v>1</v>
      </c>
      <c r="C48" s="16">
        <v>17</v>
      </c>
      <c r="D48" s="16">
        <v>16</v>
      </c>
      <c r="E48" s="10" t="s">
        <v>17</v>
      </c>
      <c r="F48" s="23" t="s">
        <v>904</v>
      </c>
      <c r="G48" s="7" t="str">
        <f t="shared" si="6"/>
        <v xml:space="preserve">    [Temperature] = CONVERT(smallint,Column17),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</row>
    <row r="49" spans="1:12">
      <c r="A49" s="9" t="s">
        <v>1056</v>
      </c>
      <c r="B49" s="16">
        <f t="shared" si="5"/>
        <v>1</v>
      </c>
      <c r="C49" s="16">
        <v>18</v>
      </c>
      <c r="D49" s="16">
        <v>17</v>
      </c>
      <c r="E49" s="10" t="s">
        <v>18</v>
      </c>
      <c r="F49" s="23" t="s">
        <v>906</v>
      </c>
      <c r="G49" s="7" t="str">
        <f t="shared" si="6"/>
        <v xml:space="preserve">    [Profile Status] = CONVERT(int,Column18),</v>
      </c>
      <c r="H49" s="22" t="s">
        <v>248</v>
      </c>
      <c r="I49" s="22" t="s">
        <v>248</v>
      </c>
      <c r="J49" s="22" t="s">
        <v>248</v>
      </c>
      <c r="K49" s="22" t="s">
        <v>248</v>
      </c>
      <c r="L49" s="22" t="s">
        <v>248</v>
      </c>
    </row>
    <row r="50" spans="1:12">
      <c r="A50" s="9" t="s">
        <v>1056</v>
      </c>
      <c r="B50" s="16">
        <f t="shared" si="5"/>
        <v>1</v>
      </c>
      <c r="C50" s="16">
        <v>19</v>
      </c>
      <c r="D50" s="16">
        <v>18</v>
      </c>
      <c r="E50" s="10" t="s">
        <v>19</v>
      </c>
      <c r="F50" s="23" t="s">
        <v>906</v>
      </c>
      <c r="G50" s="7" t="str">
        <f t="shared" si="6"/>
        <v xml:space="preserve">    [Container Status] = CONVERT(int,Column19),</v>
      </c>
      <c r="H50" s="22" t="s">
        <v>248</v>
      </c>
      <c r="I50" s="22" t="s">
        <v>248</v>
      </c>
      <c r="J50" s="22" t="s">
        <v>248</v>
      </c>
      <c r="K50" s="22" t="s">
        <v>248</v>
      </c>
      <c r="L50" s="22" t="s">
        <v>248</v>
      </c>
    </row>
    <row r="51" spans="1:12">
      <c r="A51" s="9" t="s">
        <v>1056</v>
      </c>
      <c r="B51" s="16">
        <f t="shared" si="5"/>
        <v>1</v>
      </c>
      <c r="C51" s="16">
        <v>20</v>
      </c>
      <c r="D51" s="16">
        <v>19</v>
      </c>
      <c r="E51" s="10" t="s">
        <v>20</v>
      </c>
      <c r="F51" s="23" t="s">
        <v>929</v>
      </c>
      <c r="G51" s="7" t="str">
        <f t="shared" si="6"/>
        <v xml:space="preserve">    [Last Allocated Time] = CONVERT(datetime,Column20),</v>
      </c>
      <c r="H51" s="22" t="s">
        <v>249</v>
      </c>
      <c r="I51" s="22" t="s">
        <v>250</v>
      </c>
      <c r="J51" s="22" t="s">
        <v>251</v>
      </c>
      <c r="K51" s="22" t="s">
        <v>252</v>
      </c>
      <c r="L51" s="22" t="s">
        <v>253</v>
      </c>
    </row>
    <row r="52" spans="1:12">
      <c r="A52" s="9" t="s">
        <v>1056</v>
      </c>
      <c r="B52" s="16">
        <f t="shared" si="5"/>
        <v>2</v>
      </c>
      <c r="C52" s="16">
        <v>21</v>
      </c>
      <c r="D52" s="16">
        <v>20</v>
      </c>
      <c r="E52" s="7" t="s">
        <v>21</v>
      </c>
      <c r="F52" s="23" t="s">
        <v>905</v>
      </c>
      <c r="G52" s="7" t="str">
        <f t="shared" si="6"/>
        <v xml:space="preserve">    [Full Status] = CONVERT(varchar(1),Column21),</v>
      </c>
      <c r="H52" s="22" t="s">
        <v>53</v>
      </c>
      <c r="I52" s="22" t="s">
        <v>53</v>
      </c>
      <c r="J52" s="22" t="s">
        <v>53</v>
      </c>
      <c r="K52" s="22" t="s">
        <v>53</v>
      </c>
      <c r="L52" s="22" t="s">
        <v>53</v>
      </c>
    </row>
    <row r="53" spans="1:12">
      <c r="A53" s="9" t="s">
        <v>1056</v>
      </c>
      <c r="B53" s="16">
        <f t="shared" si="5"/>
        <v>1</v>
      </c>
      <c r="C53" s="16">
        <v>22</v>
      </c>
      <c r="D53" s="16">
        <v>21</v>
      </c>
      <c r="E53" s="10" t="s">
        <v>22</v>
      </c>
      <c r="F53" s="23" t="s">
        <v>905</v>
      </c>
      <c r="G53" s="7" t="str">
        <f t="shared" si="6"/>
        <v xml:space="preserve">    [Orientation] = CONVERT(varchar(1),Column22),</v>
      </c>
      <c r="H53" s="22" t="s">
        <v>53</v>
      </c>
      <c r="I53" s="22" t="s">
        <v>53</v>
      </c>
      <c r="J53" s="22" t="s">
        <v>53</v>
      </c>
      <c r="K53" s="22" t="s">
        <v>53</v>
      </c>
      <c r="L53" s="22" t="s">
        <v>53</v>
      </c>
    </row>
    <row r="54" spans="1:12">
      <c r="A54" s="9" t="s">
        <v>1056</v>
      </c>
      <c r="B54" s="16">
        <f t="shared" si="5"/>
        <v>1</v>
      </c>
      <c r="C54" s="16">
        <v>23</v>
      </c>
      <c r="D54" s="16">
        <v>22</v>
      </c>
      <c r="E54" s="10" t="s">
        <v>23</v>
      </c>
      <c r="F54" s="23" t="s">
        <v>904</v>
      </c>
      <c r="G54" s="7" t="str">
        <f t="shared" si="6"/>
        <v xml:space="preserve">    [Bitmap] = CONVERT(smallint,Column23),</v>
      </c>
      <c r="H54" s="22" t="s">
        <v>248</v>
      </c>
      <c r="I54" s="22" t="s">
        <v>248</v>
      </c>
      <c r="J54" s="22" t="s">
        <v>248</v>
      </c>
      <c r="K54" s="22" t="s">
        <v>248</v>
      </c>
      <c r="L54" s="22" t="s">
        <v>248</v>
      </c>
    </row>
    <row r="55" spans="1:12">
      <c r="A55" s="9" t="s">
        <v>1056</v>
      </c>
      <c r="B55" s="16">
        <f t="shared" si="5"/>
        <v>3</v>
      </c>
      <c r="C55" s="16">
        <v>24</v>
      </c>
      <c r="D55" s="16">
        <v>23</v>
      </c>
      <c r="E55" s="7" t="s">
        <v>24</v>
      </c>
      <c r="F55" s="23" t="s">
        <v>906</v>
      </c>
      <c r="G55" s="7" t="str">
        <f t="shared" si="6"/>
        <v xml:space="preserve">    [Pick Group] = CONVERT(int,Column24),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</row>
    <row r="56" spans="1:12">
      <c r="A56" s="9" t="s">
        <v>1056</v>
      </c>
      <c r="B56" s="16">
        <f t="shared" si="5"/>
        <v>1</v>
      </c>
      <c r="C56" s="16">
        <v>25</v>
      </c>
      <c r="D56" s="16">
        <v>24</v>
      </c>
      <c r="E56" s="10" t="s">
        <v>25</v>
      </c>
      <c r="F56" s="23" t="s">
        <v>906</v>
      </c>
      <c r="G56" s="7" t="str">
        <f t="shared" si="6"/>
        <v xml:space="preserve">    [Relocations] = CONVERT(int,Column25),</v>
      </c>
      <c r="H56" s="22">
        <v>0</v>
      </c>
      <c r="I56" s="22">
        <v>0</v>
      </c>
      <c r="J56" s="22">
        <v>0</v>
      </c>
      <c r="K56" s="22">
        <v>0</v>
      </c>
      <c r="L56" s="22">
        <v>0</v>
      </c>
    </row>
    <row r="57" spans="1:12">
      <c r="A57" s="9" t="s">
        <v>1056</v>
      </c>
      <c r="B57" s="16">
        <f t="shared" si="5"/>
        <v>3</v>
      </c>
      <c r="C57" s="16">
        <v>26</v>
      </c>
      <c r="D57" s="16">
        <v>25</v>
      </c>
      <c r="E57" s="7" t="s">
        <v>26</v>
      </c>
      <c r="F57" s="23" t="s">
        <v>930</v>
      </c>
      <c r="G57" s="7" t="str">
        <f t="shared" si="6"/>
        <v xml:space="preserve">    [Width] = CONVERT(varchar(50),Column26),</v>
      </c>
      <c r="H57" s="22">
        <v>0</v>
      </c>
      <c r="I57" s="22">
        <v>0</v>
      </c>
      <c r="J57" s="22">
        <v>0</v>
      </c>
      <c r="K57" s="22">
        <v>0</v>
      </c>
      <c r="L57" s="22">
        <v>0</v>
      </c>
    </row>
    <row r="58" spans="1:12">
      <c r="A58" s="9" t="s">
        <v>1056</v>
      </c>
      <c r="B58" s="16">
        <f t="shared" si="5"/>
        <v>2</v>
      </c>
      <c r="C58" s="16">
        <v>27</v>
      </c>
      <c r="D58" s="16">
        <v>26</v>
      </c>
      <c r="E58" s="7" t="s">
        <v>27</v>
      </c>
      <c r="F58" s="23" t="s">
        <v>931</v>
      </c>
      <c r="G58" s="7" t="str">
        <f t="shared" si="6"/>
        <v xml:space="preserve">    [Length] = CONVERT(varchar(10),Column27),</v>
      </c>
      <c r="H58" s="22">
        <v>0</v>
      </c>
      <c r="I58" s="22">
        <v>0</v>
      </c>
      <c r="J58" s="22">
        <v>0</v>
      </c>
      <c r="K58" s="22">
        <v>0</v>
      </c>
      <c r="L58" s="22">
        <v>0</v>
      </c>
    </row>
    <row r="59" spans="1:12">
      <c r="A59" s="9" t="s">
        <v>1056</v>
      </c>
      <c r="C59" s="16">
        <v>0</v>
      </c>
      <c r="E59" s="7"/>
      <c r="F59" s="23"/>
      <c r="G59" s="7" t="str">
        <f>"FROM Kolding.["&amp;A59&amp;"]"</f>
        <v>FROM Kolding.[container]</v>
      </c>
      <c r="H59" s="22"/>
      <c r="I59" s="22"/>
      <c r="J59" s="22"/>
      <c r="K59" s="22"/>
      <c r="L59" s="22"/>
    </row>
    <row r="60" spans="1:12" ht="30" customHeight="1">
      <c r="A60" s="9" t="s">
        <v>1057</v>
      </c>
      <c r="B60" s="16">
        <f t="shared" ref="B60:B80" si="7">COUNTIF(E:E,E60)</f>
        <v>0</v>
      </c>
      <c r="C60" s="16">
        <f>IF(A60=A58,C58+1,0)</f>
        <v>0</v>
      </c>
      <c r="E60" s="6"/>
      <c r="F60" s="23"/>
      <c r="G60" s="14" t="str">
        <f>"CREATE VIEW Kolding_LTS.["&amp;A60&amp;"] as select "</f>
        <v xml:space="preserve">CREATE VIEW Kolding_LTS.[customer_label] as select </v>
      </c>
    </row>
    <row r="61" spans="1:12">
      <c r="A61" s="9" t="s">
        <v>1057</v>
      </c>
      <c r="B61" s="16">
        <f t="shared" si="7"/>
        <v>1</v>
      </c>
      <c r="C61" s="16">
        <f t="shared" ref="C61:C80" si="8">IF(A61=A60,C60+1,0)</f>
        <v>1</v>
      </c>
      <c r="D61" s="16">
        <v>0</v>
      </c>
      <c r="E61" s="10" t="s">
        <v>28</v>
      </c>
      <c r="F61" s="23" t="s">
        <v>907</v>
      </c>
      <c r="G61" s="7" t="str">
        <f t="shared" si="6"/>
        <v xml:space="preserve">    [Seq] = CONVERT(Int,Column1),</v>
      </c>
      <c r="H61" s="22">
        <v>1</v>
      </c>
      <c r="I61" s="22">
        <v>2</v>
      </c>
      <c r="J61" s="22">
        <v>3</v>
      </c>
      <c r="K61" s="22">
        <v>4</v>
      </c>
    </row>
    <row r="62" spans="1:12">
      <c r="A62" s="9" t="s">
        <v>1057</v>
      </c>
      <c r="B62" s="16">
        <f t="shared" si="7"/>
        <v>2</v>
      </c>
      <c r="C62" s="16">
        <f t="shared" si="8"/>
        <v>2</v>
      </c>
      <c r="D62" s="16">
        <v>1</v>
      </c>
      <c r="E62" s="7" t="s">
        <v>29</v>
      </c>
      <c r="F62" s="23" t="s">
        <v>932</v>
      </c>
      <c r="G62" s="7" t="str">
        <f t="shared" si="6"/>
        <v xml:space="preserve">    [Carrier] = CONVERT(varchar(40),Column2),</v>
      </c>
      <c r="H62" s="22" t="s">
        <v>47</v>
      </c>
      <c r="I62" s="22" t="s">
        <v>47</v>
      </c>
      <c r="J62" s="22" t="s">
        <v>61</v>
      </c>
      <c r="K62" s="22" t="s">
        <v>47</v>
      </c>
    </row>
    <row r="63" spans="1:12">
      <c r="A63" s="9" t="s">
        <v>1057</v>
      </c>
      <c r="B63" s="16">
        <f t="shared" si="7"/>
        <v>2</v>
      </c>
      <c r="C63" s="16">
        <f t="shared" si="8"/>
        <v>3</v>
      </c>
      <c r="D63" s="16">
        <v>2</v>
      </c>
      <c r="E63" s="10" t="s">
        <v>30</v>
      </c>
      <c r="F63" s="23" t="s">
        <v>932</v>
      </c>
      <c r="G63" s="7" t="str">
        <f t="shared" si="6"/>
        <v xml:space="preserve">    [Name 1] = CONVERT(varchar(40),Column3),</v>
      </c>
      <c r="H63" s="22" t="s">
        <v>48</v>
      </c>
      <c r="I63" s="22" t="s">
        <v>48</v>
      </c>
      <c r="J63" s="22" t="s">
        <v>62</v>
      </c>
      <c r="K63" s="22" t="s">
        <v>48</v>
      </c>
    </row>
    <row r="64" spans="1:12">
      <c r="A64" s="9" t="s">
        <v>1057</v>
      </c>
      <c r="B64" s="16">
        <f t="shared" si="7"/>
        <v>2</v>
      </c>
      <c r="C64" s="16">
        <f t="shared" si="8"/>
        <v>4</v>
      </c>
      <c r="D64" s="16">
        <v>3</v>
      </c>
      <c r="E64" s="10" t="s">
        <v>31</v>
      </c>
      <c r="F64" s="23" t="s">
        <v>932</v>
      </c>
      <c r="G64" s="7" t="str">
        <f t="shared" si="6"/>
        <v xml:space="preserve">    [Name 2] = CONVERT(varchar(40),Column4),</v>
      </c>
      <c r="H64" s="22" t="s">
        <v>49</v>
      </c>
      <c r="I64" s="22" t="s">
        <v>49</v>
      </c>
      <c r="J64" s="22" t="s">
        <v>53</v>
      </c>
      <c r="K64" s="22" t="s">
        <v>49</v>
      </c>
    </row>
    <row r="65" spans="1:11">
      <c r="A65" s="9" t="s">
        <v>1057</v>
      </c>
      <c r="B65" s="16">
        <f t="shared" si="7"/>
        <v>1</v>
      </c>
      <c r="C65" s="16">
        <f t="shared" si="8"/>
        <v>5</v>
      </c>
      <c r="D65" s="16">
        <v>4</v>
      </c>
      <c r="E65" s="10" t="s">
        <v>32</v>
      </c>
      <c r="F65" s="23" t="s">
        <v>932</v>
      </c>
      <c r="G65" s="7" t="str">
        <f t="shared" si="6"/>
        <v xml:space="preserve">    [Address] = CONVERT(varchar(40),Column5),</v>
      </c>
      <c r="H65" s="22" t="s">
        <v>50</v>
      </c>
      <c r="I65" s="22" t="s">
        <v>50</v>
      </c>
      <c r="J65" s="22" t="s">
        <v>63</v>
      </c>
      <c r="K65" s="22" t="s">
        <v>50</v>
      </c>
    </row>
    <row r="66" spans="1:11">
      <c r="A66" s="9" t="s">
        <v>1057</v>
      </c>
      <c r="B66" s="16">
        <f t="shared" si="7"/>
        <v>1</v>
      </c>
      <c r="C66" s="16">
        <f t="shared" si="8"/>
        <v>6</v>
      </c>
      <c r="D66" s="16">
        <v>5</v>
      </c>
      <c r="E66" s="10" t="s">
        <v>33</v>
      </c>
      <c r="F66" s="23" t="s">
        <v>932</v>
      </c>
      <c r="G66" s="7" t="str">
        <f t="shared" si="6"/>
        <v xml:space="preserve">    [Zip + Town] = CONVERT(varchar(40),Column6),</v>
      </c>
      <c r="H66" s="22" t="s">
        <v>51</v>
      </c>
      <c r="I66" s="22" t="s">
        <v>51</v>
      </c>
      <c r="J66" s="22" t="s">
        <v>64</v>
      </c>
      <c r="K66" s="22" t="s">
        <v>51</v>
      </c>
    </row>
    <row r="67" spans="1:11">
      <c r="A67" s="9" t="s">
        <v>1057</v>
      </c>
      <c r="B67" s="16">
        <f t="shared" si="7"/>
        <v>3</v>
      </c>
      <c r="C67" s="16">
        <f t="shared" si="8"/>
        <v>7</v>
      </c>
      <c r="D67" s="16">
        <v>6</v>
      </c>
      <c r="E67" s="7" t="s">
        <v>34</v>
      </c>
      <c r="F67" s="23" t="s">
        <v>904</v>
      </c>
      <c r="G67" s="7" t="str">
        <f t="shared" si="6"/>
        <v xml:space="preserve">    [Package No] = CONVERT(smallint,Column7),</v>
      </c>
      <c r="H67" s="22">
        <v>1</v>
      </c>
      <c r="I67" s="22">
        <v>1</v>
      </c>
      <c r="J67" s="22">
        <v>1</v>
      </c>
      <c r="K67" s="22">
        <v>1</v>
      </c>
    </row>
    <row r="68" spans="1:11">
      <c r="A68" s="9" t="s">
        <v>1057</v>
      </c>
      <c r="B68" s="16">
        <f t="shared" si="7"/>
        <v>4</v>
      </c>
      <c r="C68" s="16">
        <f t="shared" si="8"/>
        <v>8</v>
      </c>
      <c r="D68" s="16">
        <v>7</v>
      </c>
      <c r="E68" s="7" t="s">
        <v>5</v>
      </c>
      <c r="F68" s="23" t="s">
        <v>904</v>
      </c>
      <c r="G68" s="7" t="str">
        <f t="shared" si="6"/>
        <v xml:space="preserve">    [Weight] = CONVERT(smallint,Column8),</v>
      </c>
      <c r="H68" s="22">
        <v>1</v>
      </c>
      <c r="I68" s="22">
        <v>6</v>
      </c>
      <c r="J68" s="22">
        <v>2</v>
      </c>
      <c r="K68" s="22">
        <v>0</v>
      </c>
    </row>
    <row r="69" spans="1:11">
      <c r="A69" s="9" t="s">
        <v>1057</v>
      </c>
      <c r="B69" s="16">
        <f t="shared" si="7"/>
        <v>2</v>
      </c>
      <c r="C69" s="16">
        <f t="shared" si="8"/>
        <v>9</v>
      </c>
      <c r="D69" s="16">
        <v>8</v>
      </c>
      <c r="E69" s="7" t="s">
        <v>35</v>
      </c>
      <c r="F69" s="23" t="s">
        <v>908</v>
      </c>
      <c r="G69" s="7" t="str">
        <f t="shared" si="6"/>
        <v xml:space="preserve">    [Route] = CONVERT(varchar(5),Column9),</v>
      </c>
      <c r="H69" s="22" t="s">
        <v>52</v>
      </c>
      <c r="I69" s="22" t="s">
        <v>52</v>
      </c>
      <c r="J69" s="22" t="s">
        <v>65</v>
      </c>
      <c r="K69" s="22" t="s">
        <v>52</v>
      </c>
    </row>
    <row r="70" spans="1:11">
      <c r="A70" s="9" t="s">
        <v>1057</v>
      </c>
      <c r="B70" s="16">
        <f t="shared" si="7"/>
        <v>2</v>
      </c>
      <c r="C70" s="16">
        <f t="shared" si="8"/>
        <v>10</v>
      </c>
      <c r="D70" s="16">
        <v>9</v>
      </c>
      <c r="E70" s="7" t="s">
        <v>36</v>
      </c>
      <c r="F70" s="23" t="s">
        <v>932</v>
      </c>
      <c r="G70" s="7" t="str">
        <f t="shared" si="6"/>
        <v xml:space="preserve">    [Sales Company ID] = CONVERT(varchar(40),Column10),</v>
      </c>
      <c r="H70" s="22" t="s">
        <v>53</v>
      </c>
      <c r="I70" s="22" t="s">
        <v>53</v>
      </c>
      <c r="J70" s="22" t="s">
        <v>53</v>
      </c>
      <c r="K70" s="22" t="s">
        <v>53</v>
      </c>
    </row>
    <row r="71" spans="1:11">
      <c r="A71" s="9" t="s">
        <v>1057</v>
      </c>
      <c r="B71" s="16">
        <f t="shared" si="7"/>
        <v>1</v>
      </c>
      <c r="C71" s="16">
        <f t="shared" si="8"/>
        <v>11</v>
      </c>
      <c r="D71" s="16">
        <v>10</v>
      </c>
      <c r="E71" s="10" t="s">
        <v>37</v>
      </c>
      <c r="F71" s="23" t="s">
        <v>932</v>
      </c>
      <c r="G71" s="7" t="str">
        <f t="shared" si="6"/>
        <v xml:space="preserve">    [Order Type] = CONVERT(varchar(40),Column11),</v>
      </c>
      <c r="H71" s="22" t="s">
        <v>47</v>
      </c>
      <c r="I71" s="22" t="s">
        <v>47</v>
      </c>
      <c r="J71" s="22" t="s">
        <v>61</v>
      </c>
      <c r="K71" s="22" t="s">
        <v>47</v>
      </c>
    </row>
    <row r="72" spans="1:11">
      <c r="A72" s="9" t="s">
        <v>1057</v>
      </c>
      <c r="B72" s="16">
        <f t="shared" si="7"/>
        <v>2</v>
      </c>
      <c r="C72" s="16">
        <f t="shared" si="8"/>
        <v>12</v>
      </c>
      <c r="D72" s="16">
        <v>11</v>
      </c>
      <c r="E72" s="7" t="s">
        <v>38</v>
      </c>
      <c r="F72" s="23" t="s">
        <v>931</v>
      </c>
      <c r="G72" s="7" t="str">
        <f t="shared" si="6"/>
        <v xml:space="preserve">    [Zip Code Area] = CONVERT(varchar(10),Column12),</v>
      </c>
      <c r="H72" s="22" t="s">
        <v>54</v>
      </c>
      <c r="I72" s="22" t="s">
        <v>54</v>
      </c>
      <c r="J72" s="22" t="s">
        <v>66</v>
      </c>
      <c r="K72" s="22" t="s">
        <v>54</v>
      </c>
    </row>
    <row r="73" spans="1:11">
      <c r="A73" s="9" t="s">
        <v>1057</v>
      </c>
      <c r="B73" s="16">
        <f t="shared" si="7"/>
        <v>1</v>
      </c>
      <c r="C73" s="16">
        <f t="shared" si="8"/>
        <v>13</v>
      </c>
      <c r="D73" s="16">
        <v>12</v>
      </c>
      <c r="E73" s="10" t="s">
        <v>39</v>
      </c>
      <c r="F73" s="23" t="s">
        <v>933</v>
      </c>
      <c r="G73" s="7" t="str">
        <f t="shared" si="6"/>
        <v xml:space="preserve">    [Sales Order Num] = CONVERT(varchar(25),Column13),</v>
      </c>
      <c r="H73" s="22" t="s">
        <v>53</v>
      </c>
      <c r="I73" s="22" t="s">
        <v>53</v>
      </c>
      <c r="J73" s="22" t="s">
        <v>53</v>
      </c>
      <c r="K73" s="22" t="s">
        <v>53</v>
      </c>
    </row>
    <row r="74" spans="1:11">
      <c r="A74" s="9" t="s">
        <v>1057</v>
      </c>
      <c r="B74" s="16">
        <f t="shared" si="7"/>
        <v>5</v>
      </c>
      <c r="C74" s="16">
        <f t="shared" si="8"/>
        <v>14</v>
      </c>
      <c r="D74" s="16">
        <v>13</v>
      </c>
      <c r="E74" s="7" t="s">
        <v>40</v>
      </c>
      <c r="F74" s="23" t="s">
        <v>907</v>
      </c>
      <c r="G74" s="7" t="str">
        <f t="shared" si="6"/>
        <v xml:space="preserve">    [Order Number] = CONVERT(Int,Column14),</v>
      </c>
      <c r="H74" s="22" t="s">
        <v>55</v>
      </c>
      <c r="I74" s="22" t="s">
        <v>58</v>
      </c>
      <c r="J74" s="22" t="s">
        <v>67</v>
      </c>
      <c r="K74" s="22" t="s">
        <v>70</v>
      </c>
    </row>
    <row r="75" spans="1:11">
      <c r="A75" s="9" t="s">
        <v>1057</v>
      </c>
      <c r="B75" s="16">
        <f t="shared" si="7"/>
        <v>1</v>
      </c>
      <c r="C75" s="16">
        <f t="shared" si="8"/>
        <v>15</v>
      </c>
      <c r="D75" s="16">
        <v>14</v>
      </c>
      <c r="E75" s="10" t="s">
        <v>41</v>
      </c>
      <c r="F75" s="23" t="s">
        <v>929</v>
      </c>
      <c r="G75" s="7" t="str">
        <f t="shared" si="6"/>
        <v xml:space="preserve">    [Date] = CONVERT(datetime,Column15),</v>
      </c>
      <c r="H75" s="22" t="s">
        <v>56</v>
      </c>
      <c r="I75" s="22" t="s">
        <v>59</v>
      </c>
      <c r="J75" s="22" t="s">
        <v>68</v>
      </c>
      <c r="K75" s="22" t="s">
        <v>71</v>
      </c>
    </row>
    <row r="76" spans="1:11">
      <c r="A76" s="9" t="s">
        <v>1057</v>
      </c>
      <c r="B76" s="16">
        <f t="shared" si="7"/>
        <v>1</v>
      </c>
      <c r="C76" s="16">
        <f t="shared" si="8"/>
        <v>16</v>
      </c>
      <c r="D76" s="16">
        <v>15</v>
      </c>
      <c r="E76" s="10" t="s">
        <v>42</v>
      </c>
      <c r="F76" s="23" t="s">
        <v>909</v>
      </c>
      <c r="G76" s="7" t="str">
        <f t="shared" si="6"/>
        <v xml:space="preserve">    [Despatch Remarks] = CONVERT(varchar(20),Column16),</v>
      </c>
      <c r="H76" s="22" t="s">
        <v>53</v>
      </c>
      <c r="I76" s="22" t="s">
        <v>53</v>
      </c>
      <c r="J76" s="22" t="s">
        <v>53</v>
      </c>
      <c r="K76" s="22" t="s">
        <v>53</v>
      </c>
    </row>
    <row r="77" spans="1:11">
      <c r="A77" s="9" t="s">
        <v>1057</v>
      </c>
      <c r="B77" s="16">
        <f t="shared" si="7"/>
        <v>1</v>
      </c>
      <c r="C77" s="16">
        <f t="shared" si="8"/>
        <v>17</v>
      </c>
      <c r="D77" s="16">
        <v>16</v>
      </c>
      <c r="E77" s="10" t="s">
        <v>43</v>
      </c>
      <c r="F77" s="23" t="s">
        <v>932</v>
      </c>
      <c r="G77" s="7" t="str">
        <f t="shared" si="6"/>
        <v xml:space="preserve">    [Remarks] = CONVERT(varchar(40),Column17),</v>
      </c>
      <c r="H77" s="22" t="s">
        <v>53</v>
      </c>
      <c r="I77" s="22" t="s">
        <v>53</v>
      </c>
      <c r="J77" s="22" t="s">
        <v>53</v>
      </c>
      <c r="K77" s="22" t="s">
        <v>53</v>
      </c>
    </row>
    <row r="78" spans="1:11">
      <c r="A78" s="9" t="s">
        <v>1057</v>
      </c>
      <c r="B78" s="16">
        <f t="shared" si="7"/>
        <v>2</v>
      </c>
      <c r="C78" s="16">
        <f t="shared" si="8"/>
        <v>18</v>
      </c>
      <c r="D78" s="16">
        <v>17</v>
      </c>
      <c r="E78" s="7" t="s">
        <v>44</v>
      </c>
      <c r="F78" s="23" t="s">
        <v>932</v>
      </c>
      <c r="G78" s="7" t="str">
        <f t="shared" si="6"/>
        <v xml:space="preserve">    [COD Text] = CONVERT(varchar(40),Column18),</v>
      </c>
      <c r="H78" s="22" t="s">
        <v>53</v>
      </c>
      <c r="I78" s="22" t="s">
        <v>53</v>
      </c>
      <c r="J78" s="22" t="s">
        <v>53</v>
      </c>
      <c r="K78" s="22" t="s">
        <v>53</v>
      </c>
    </row>
    <row r="79" spans="1:11">
      <c r="A79" s="9" t="s">
        <v>1057</v>
      </c>
      <c r="B79" s="16">
        <f t="shared" si="7"/>
        <v>1</v>
      </c>
      <c r="C79" s="16">
        <f t="shared" si="8"/>
        <v>19</v>
      </c>
      <c r="D79" s="16">
        <v>18</v>
      </c>
      <c r="E79" s="10" t="s">
        <v>45</v>
      </c>
      <c r="F79" s="23" t="s">
        <v>909</v>
      </c>
      <c r="G79" s="7" t="str">
        <f t="shared" si="6"/>
        <v xml:space="preserve">    [Shipping Code] = CONVERT(varchar(20),Column19),</v>
      </c>
      <c r="H79" s="22" t="s">
        <v>57</v>
      </c>
      <c r="I79" s="22" t="s">
        <v>60</v>
      </c>
      <c r="J79" s="22" t="s">
        <v>69</v>
      </c>
      <c r="K79" s="22" t="s">
        <v>72</v>
      </c>
    </row>
    <row r="80" spans="1:11">
      <c r="A80" s="9" t="s">
        <v>1057</v>
      </c>
      <c r="B80" s="16">
        <f t="shared" si="7"/>
        <v>1</v>
      </c>
      <c r="C80" s="16">
        <f t="shared" si="8"/>
        <v>20</v>
      </c>
      <c r="D80" s="16">
        <v>19</v>
      </c>
      <c r="E80" s="10" t="s">
        <v>46</v>
      </c>
      <c r="F80" s="23" t="s">
        <v>909</v>
      </c>
      <c r="G80" s="7" t="str">
        <f t="shared" si="6"/>
        <v xml:space="preserve">    [Shipping Code Text] = CONVERT(varchar(20),Column20),</v>
      </c>
      <c r="H80" s="22" t="s">
        <v>57</v>
      </c>
      <c r="I80" s="22" t="s">
        <v>60</v>
      </c>
      <c r="J80" s="22" t="s">
        <v>69</v>
      </c>
      <c r="K80" s="22" t="s">
        <v>72</v>
      </c>
    </row>
    <row r="81" spans="1:12">
      <c r="A81" s="9" t="s">
        <v>1057</v>
      </c>
      <c r="C81" s="16">
        <v>0</v>
      </c>
      <c r="E81" s="10"/>
      <c r="F81" s="23"/>
      <c r="G81" s="7" t="str">
        <f>"FROM Kolding.["&amp;A103&amp;"]"</f>
        <v>FROM Kolding.[item_conf]</v>
      </c>
      <c r="H81" s="22"/>
      <c r="I81" s="22"/>
      <c r="J81" s="22"/>
      <c r="K81" s="22"/>
    </row>
    <row r="82" spans="1:12" ht="30" customHeight="1">
      <c r="A82" s="9" t="s">
        <v>1058</v>
      </c>
      <c r="B82" s="16">
        <f>COUNTIF(E:E,E82)</f>
        <v>0</v>
      </c>
      <c r="C82" s="16">
        <v>0</v>
      </c>
      <c r="E82" s="10"/>
      <c r="F82" s="23"/>
      <c r="G82" s="14" t="str">
        <f>"CREATE VIEW Kolding_LTS.["&amp;A82&amp;"] as select "</f>
        <v xml:space="preserve">CREATE VIEW Kolding_LTS.[empty_container] as select </v>
      </c>
      <c r="H82" s="22"/>
      <c r="I82" s="22"/>
      <c r="J82" s="22"/>
      <c r="K82" s="22"/>
    </row>
    <row r="83" spans="1:12">
      <c r="A83" s="9" t="str">
        <f>A82</f>
        <v>empty_container</v>
      </c>
      <c r="B83" s="16">
        <f>COUNTIF(E:E,E83)</f>
        <v>5</v>
      </c>
      <c r="C83" s="16">
        <v>1</v>
      </c>
      <c r="D83" s="16">
        <v>0</v>
      </c>
      <c r="E83" s="9" t="s">
        <v>189</v>
      </c>
      <c r="F83" s="23" t="s">
        <v>908</v>
      </c>
      <c r="G83" s="7" t="str">
        <f t="shared" si="6"/>
        <v xml:space="preserve">    [Category] = CONVERT(varchar(5),Column1),</v>
      </c>
      <c r="H83" s="22" t="s">
        <v>934</v>
      </c>
      <c r="I83" s="22" t="s">
        <v>935</v>
      </c>
      <c r="J83" s="22" t="s">
        <v>935</v>
      </c>
      <c r="K83" s="22" t="s">
        <v>935</v>
      </c>
      <c r="L83" s="5" t="s">
        <v>935</v>
      </c>
    </row>
    <row r="84" spans="1:12">
      <c r="A84" s="9" t="str">
        <f>A83</f>
        <v>empty_container</v>
      </c>
      <c r="B84" s="16">
        <f>COUNTIF(E:E,E84)</f>
        <v>6</v>
      </c>
      <c r="C84" s="16">
        <v>2</v>
      </c>
      <c r="D84" s="16">
        <v>1</v>
      </c>
      <c r="E84" s="9" t="s">
        <v>1101</v>
      </c>
      <c r="F84" s="23" t="s">
        <v>904</v>
      </c>
      <c r="G84" s="7" t="str">
        <f t="shared" si="6"/>
        <v xml:space="preserve">    [Parm 1] = CONVERT(smallint,Column2),</v>
      </c>
      <c r="H84" s="22">
        <v>12</v>
      </c>
      <c r="I84" s="22">
        <v>11</v>
      </c>
      <c r="J84" s="22">
        <v>15</v>
      </c>
      <c r="K84" s="22">
        <v>20</v>
      </c>
      <c r="L84" s="5">
        <v>30</v>
      </c>
    </row>
    <row r="85" spans="1:12">
      <c r="A85" s="9" t="str">
        <f>A84</f>
        <v>empty_container</v>
      </c>
      <c r="B85" s="16">
        <f>COUNTIF(E:E,E85)</f>
        <v>6</v>
      </c>
      <c r="C85" s="16">
        <v>3</v>
      </c>
      <c r="D85" s="16">
        <v>2</v>
      </c>
      <c r="E85" s="9" t="s">
        <v>1102</v>
      </c>
      <c r="F85" s="23" t="s">
        <v>904</v>
      </c>
      <c r="G85" s="7" t="str">
        <f t="shared" si="6"/>
        <v xml:space="preserve">    [Parm 2] = CONVERT(smallint,Column3),</v>
      </c>
      <c r="H85" s="22">
        <v>1</v>
      </c>
      <c r="I85" s="22">
        <v>111</v>
      </c>
      <c r="J85" s="22">
        <v>111</v>
      </c>
      <c r="K85" s="22">
        <v>111</v>
      </c>
      <c r="L85" s="5">
        <v>111</v>
      </c>
    </row>
    <row r="86" spans="1:12">
      <c r="A86" s="9" t="str">
        <f>A85</f>
        <v>empty_container</v>
      </c>
      <c r="C86" s="16">
        <v>0</v>
      </c>
      <c r="G86" s="7" t="str">
        <f>"FROM Kolding.["&amp;A86&amp;"]"</f>
        <v>FROM Kolding.[empty_container]</v>
      </c>
    </row>
    <row r="87" spans="1:12" ht="30" customHeight="1">
      <c r="A87" s="9" t="s">
        <v>1059</v>
      </c>
      <c r="B87" s="16">
        <f t="shared" ref="B87:B114" si="9">COUNTIF(E:E,E87)</f>
        <v>0</v>
      </c>
      <c r="C87" s="16">
        <f>IF(A87=A80,C80+1,0)</f>
        <v>0</v>
      </c>
      <c r="E87" s="6"/>
      <c r="F87" s="23"/>
      <c r="G87" s="14" t="str">
        <f>"CREATE VIEW Kolding_LTS.["&amp;A87&amp;"] as select "</f>
        <v xml:space="preserve">CREATE VIEW Kolding_LTS.[item_conf] as select </v>
      </c>
    </row>
    <row r="88" spans="1:12">
      <c r="A88" s="9" t="str">
        <f>A87</f>
        <v>item_conf</v>
      </c>
      <c r="B88" s="16">
        <f t="shared" si="9"/>
        <v>10</v>
      </c>
      <c r="C88" s="16">
        <f t="shared" ref="C88:C114" si="10">IF(A88=A87,C87+1,0)</f>
        <v>1</v>
      </c>
      <c r="D88" s="16">
        <v>0</v>
      </c>
      <c r="E88" s="7" t="s">
        <v>95</v>
      </c>
      <c r="F88" s="23" t="s">
        <v>906</v>
      </c>
      <c r="G88" s="7" t="str">
        <f t="shared" si="6"/>
        <v xml:space="preserve">    [Item Code] = CONVERT(int,Column1),</v>
      </c>
      <c r="H88" s="22" t="s">
        <v>254</v>
      </c>
      <c r="I88" s="22" t="s">
        <v>255</v>
      </c>
      <c r="J88" s="22" t="s">
        <v>262</v>
      </c>
      <c r="K88" s="22" t="s">
        <v>263</v>
      </c>
      <c r="L88" s="22" t="s">
        <v>264</v>
      </c>
    </row>
    <row r="89" spans="1:12">
      <c r="A89" s="9" t="str">
        <f t="shared" ref="A89:A115" si="11">A88</f>
        <v>item_conf</v>
      </c>
      <c r="B89" s="16">
        <f t="shared" si="9"/>
        <v>8</v>
      </c>
      <c r="C89" s="16">
        <f t="shared" si="10"/>
        <v>2</v>
      </c>
      <c r="D89" s="16">
        <v>1</v>
      </c>
      <c r="E89" s="7" t="s">
        <v>96</v>
      </c>
      <c r="F89" s="23" t="s">
        <v>931</v>
      </c>
      <c r="G89" s="7" t="str">
        <f t="shared" si="6"/>
        <v xml:space="preserve">    [Client Code] = CONVERT(varchar(10),Column2),</v>
      </c>
      <c r="H89" s="22" t="s">
        <v>256</v>
      </c>
      <c r="I89" s="22" t="s">
        <v>256</v>
      </c>
      <c r="J89" s="22" t="s">
        <v>256</v>
      </c>
      <c r="K89" s="22" t="s">
        <v>256</v>
      </c>
      <c r="L89" s="22" t="s">
        <v>256</v>
      </c>
    </row>
    <row r="90" spans="1:12">
      <c r="A90" s="9" t="str">
        <f t="shared" si="11"/>
        <v>item_conf</v>
      </c>
      <c r="B90" s="16">
        <f t="shared" si="9"/>
        <v>5</v>
      </c>
      <c r="C90" s="16">
        <f t="shared" si="10"/>
        <v>3</v>
      </c>
      <c r="D90" s="16">
        <v>2</v>
      </c>
      <c r="E90" s="7" t="s">
        <v>97</v>
      </c>
      <c r="F90" s="23" t="s">
        <v>908</v>
      </c>
      <c r="G90" s="7" t="str">
        <f t="shared" si="6"/>
        <v xml:space="preserve">    [Item Conf] = CONVERT(varchar(5),Column3),</v>
      </c>
      <c r="H90" s="22" t="s">
        <v>257</v>
      </c>
      <c r="I90" s="22" t="s">
        <v>257</v>
      </c>
      <c r="J90" s="22" t="s">
        <v>257</v>
      </c>
      <c r="K90" s="22" t="s">
        <v>257</v>
      </c>
      <c r="L90" s="22" t="s">
        <v>257</v>
      </c>
    </row>
    <row r="91" spans="1:12">
      <c r="A91" s="9" t="str">
        <f t="shared" si="11"/>
        <v>item_conf</v>
      </c>
      <c r="B91" s="16">
        <f t="shared" si="9"/>
        <v>7</v>
      </c>
      <c r="C91" s="16">
        <f t="shared" si="10"/>
        <v>4</v>
      </c>
      <c r="D91" s="16">
        <v>3</v>
      </c>
      <c r="E91" s="7" t="s">
        <v>98</v>
      </c>
      <c r="F91" s="23" t="s">
        <v>909</v>
      </c>
      <c r="G91" s="7" t="str">
        <f t="shared" si="6"/>
        <v xml:space="preserve">    [Description] = CONVERT(varchar(20),Column4),</v>
      </c>
      <c r="H91" s="22" t="s">
        <v>53</v>
      </c>
      <c r="I91" s="22" t="s">
        <v>53</v>
      </c>
      <c r="J91" s="22" t="s">
        <v>53</v>
      </c>
      <c r="K91" s="22" t="s">
        <v>53</v>
      </c>
      <c r="L91" s="22" t="s">
        <v>53</v>
      </c>
    </row>
    <row r="92" spans="1:12">
      <c r="A92" s="9" t="str">
        <f t="shared" si="11"/>
        <v>item_conf</v>
      </c>
      <c r="B92" s="16">
        <f t="shared" si="9"/>
        <v>1</v>
      </c>
      <c r="C92" s="16">
        <f t="shared" si="10"/>
        <v>5</v>
      </c>
      <c r="D92" s="16">
        <v>4</v>
      </c>
      <c r="E92" s="10" t="s">
        <v>99</v>
      </c>
      <c r="F92" s="23" t="s">
        <v>908</v>
      </c>
      <c r="G92" s="7" t="str">
        <f t="shared" si="6"/>
        <v xml:space="preserve">    [Sub Conf] = CONVERT(varchar(5),Column5),</v>
      </c>
      <c r="H92" s="22" t="s">
        <v>53</v>
      </c>
      <c r="I92" s="22" t="s">
        <v>53</v>
      </c>
      <c r="J92" s="22" t="s">
        <v>53</v>
      </c>
      <c r="K92" s="22" t="s">
        <v>53</v>
      </c>
      <c r="L92" s="22" t="s">
        <v>53</v>
      </c>
    </row>
    <row r="93" spans="1:12">
      <c r="A93" s="9" t="str">
        <f t="shared" si="11"/>
        <v>item_conf</v>
      </c>
      <c r="B93" s="16">
        <f t="shared" si="9"/>
        <v>1</v>
      </c>
      <c r="C93" s="16">
        <f t="shared" si="10"/>
        <v>6</v>
      </c>
      <c r="D93" s="16">
        <v>5</v>
      </c>
      <c r="E93" s="10" t="s">
        <v>100</v>
      </c>
      <c r="F93" s="23" t="s">
        <v>904</v>
      </c>
      <c r="G93" s="7" t="str">
        <f t="shared" si="6"/>
        <v xml:space="preserve">    [Sub Factor] = CONVERT(smallint,Column6),</v>
      </c>
      <c r="H93" s="22">
        <v>0</v>
      </c>
      <c r="I93" s="22">
        <v>0</v>
      </c>
      <c r="J93" s="22">
        <v>0</v>
      </c>
      <c r="K93" s="22">
        <v>0</v>
      </c>
      <c r="L93" s="22">
        <v>0</v>
      </c>
    </row>
    <row r="94" spans="1:12">
      <c r="A94" s="9" t="str">
        <f t="shared" si="11"/>
        <v>item_conf</v>
      </c>
      <c r="B94" s="16">
        <f t="shared" si="9"/>
        <v>3</v>
      </c>
      <c r="C94" s="16">
        <f t="shared" si="10"/>
        <v>7</v>
      </c>
      <c r="D94" s="16">
        <v>6</v>
      </c>
      <c r="E94" s="7" t="s">
        <v>6</v>
      </c>
      <c r="F94" s="23" t="s">
        <v>936</v>
      </c>
      <c r="G94" s="7" t="str">
        <f t="shared" si="6"/>
        <v xml:space="preserve">    [Height] = CONVERT(decimal(18,3),Column7),</v>
      </c>
      <c r="H94" s="22">
        <v>35</v>
      </c>
      <c r="I94" s="22">
        <v>50</v>
      </c>
      <c r="J94" s="22">
        <v>35</v>
      </c>
      <c r="K94" s="22">
        <v>40</v>
      </c>
      <c r="L94" s="22">
        <v>210</v>
      </c>
    </row>
    <row r="95" spans="1:12">
      <c r="A95" s="9" t="str">
        <f t="shared" si="11"/>
        <v>item_conf</v>
      </c>
      <c r="B95" s="16">
        <f t="shared" si="9"/>
        <v>2</v>
      </c>
      <c r="C95" s="16">
        <f t="shared" si="10"/>
        <v>8</v>
      </c>
      <c r="D95" s="16">
        <v>7</v>
      </c>
      <c r="E95" s="7" t="s">
        <v>27</v>
      </c>
      <c r="F95" s="23" t="s">
        <v>936</v>
      </c>
      <c r="G95" s="7" t="str">
        <f t="shared" si="6"/>
        <v xml:space="preserve">    [Length] = CONVERT(decimal(18,3),Column8),</v>
      </c>
      <c r="H95" s="22">
        <v>11</v>
      </c>
      <c r="I95" s="22">
        <v>15</v>
      </c>
      <c r="J95" s="22">
        <v>11</v>
      </c>
      <c r="K95" s="22">
        <v>135</v>
      </c>
      <c r="L95" s="22">
        <v>1</v>
      </c>
    </row>
    <row r="96" spans="1:12">
      <c r="A96" s="9" t="str">
        <f t="shared" si="11"/>
        <v>item_conf</v>
      </c>
      <c r="B96" s="16">
        <f t="shared" si="9"/>
        <v>3</v>
      </c>
      <c r="C96" s="16">
        <f t="shared" si="10"/>
        <v>9</v>
      </c>
      <c r="D96" s="16">
        <v>8</v>
      </c>
      <c r="E96" s="7" t="s">
        <v>26</v>
      </c>
      <c r="F96" s="23" t="s">
        <v>936</v>
      </c>
      <c r="G96" s="7" t="str">
        <f t="shared" si="6"/>
        <v xml:space="preserve">    [Width] = CONVERT(decimal(18,3),Column9),</v>
      </c>
      <c r="H96" s="22">
        <v>90</v>
      </c>
      <c r="I96" s="22">
        <v>130</v>
      </c>
      <c r="J96" s="22">
        <v>55</v>
      </c>
      <c r="K96" s="22">
        <v>70</v>
      </c>
      <c r="L96" s="22">
        <v>260</v>
      </c>
    </row>
    <row r="97" spans="1:12">
      <c r="A97" s="9" t="str">
        <f t="shared" si="11"/>
        <v>item_conf</v>
      </c>
      <c r="B97" s="16">
        <f t="shared" si="9"/>
        <v>2</v>
      </c>
      <c r="C97" s="16">
        <f t="shared" si="10"/>
        <v>10</v>
      </c>
      <c r="D97" s="16">
        <v>9</v>
      </c>
      <c r="E97" s="7" t="s">
        <v>101</v>
      </c>
      <c r="F97" s="23" t="s">
        <v>909</v>
      </c>
      <c r="G97" s="7" t="str">
        <f t="shared" si="6"/>
        <v xml:space="preserve">    [Barcode] = CONVERT(varchar(20),Column10),</v>
      </c>
      <c r="H97" s="22" t="s">
        <v>258</v>
      </c>
      <c r="I97" s="22" t="s">
        <v>259</v>
      </c>
      <c r="J97" s="22" t="s">
        <v>270</v>
      </c>
      <c r="K97" s="22" t="s">
        <v>271</v>
      </c>
      <c r="L97" s="22" t="s">
        <v>272</v>
      </c>
    </row>
    <row r="98" spans="1:12">
      <c r="A98" s="9" t="str">
        <f t="shared" si="11"/>
        <v>item_conf</v>
      </c>
      <c r="B98" s="16">
        <f t="shared" si="9"/>
        <v>1</v>
      </c>
      <c r="C98" s="16">
        <f t="shared" si="10"/>
        <v>11</v>
      </c>
      <c r="D98" s="16">
        <v>10</v>
      </c>
      <c r="E98" s="10" t="s">
        <v>102</v>
      </c>
      <c r="F98" s="23" t="s">
        <v>904</v>
      </c>
      <c r="G98" s="7" t="str">
        <f t="shared" si="6"/>
        <v xml:space="preserve">    [Gros Wt Tol Pos] = CONVERT(smallint,Column11),</v>
      </c>
      <c r="H98" s="22">
        <v>0</v>
      </c>
      <c r="I98" s="22">
        <v>9</v>
      </c>
      <c r="J98" s="22">
        <v>0</v>
      </c>
      <c r="K98" s="22">
        <v>0</v>
      </c>
      <c r="L98" s="22">
        <v>0</v>
      </c>
    </row>
    <row r="99" spans="1:12">
      <c r="A99" s="9" t="str">
        <f t="shared" si="11"/>
        <v>item_conf</v>
      </c>
      <c r="B99" s="16">
        <f t="shared" si="9"/>
        <v>1</v>
      </c>
      <c r="C99" s="16">
        <f t="shared" si="10"/>
        <v>12</v>
      </c>
      <c r="D99" s="16">
        <v>11</v>
      </c>
      <c r="E99" s="10" t="s">
        <v>103</v>
      </c>
      <c r="F99" s="23" t="s">
        <v>904</v>
      </c>
      <c r="G99" s="7" t="str">
        <f t="shared" ref="G99:G168" si="12">"    ["&amp;E99 &amp;"] = CONVERT("&amp;F99&amp;",Column" &amp;C99&amp;"),"</f>
        <v xml:space="preserve">    [Gross Wt Tol Neg] = CONVERT(smallint,Column12),</v>
      </c>
      <c r="H99" s="22">
        <v>0</v>
      </c>
      <c r="I99" s="22">
        <v>9</v>
      </c>
      <c r="J99" s="22">
        <v>0</v>
      </c>
      <c r="K99" s="22">
        <v>0</v>
      </c>
      <c r="L99" s="22">
        <v>0</v>
      </c>
    </row>
    <row r="100" spans="1:12">
      <c r="A100" s="9" t="str">
        <f t="shared" si="11"/>
        <v>item_conf</v>
      </c>
      <c r="B100" s="16">
        <f t="shared" si="9"/>
        <v>1</v>
      </c>
      <c r="C100" s="16">
        <f t="shared" si="10"/>
        <v>13</v>
      </c>
      <c r="D100" s="16">
        <v>12</v>
      </c>
      <c r="E100" s="10" t="s">
        <v>104</v>
      </c>
      <c r="F100" s="23" t="s">
        <v>936</v>
      </c>
      <c r="G100" s="7" t="str">
        <f t="shared" si="12"/>
        <v xml:space="preserve">    [Gross Wt] = CONVERT(decimal(18,3),Column13),</v>
      </c>
      <c r="H100" s="22">
        <v>89.5</v>
      </c>
      <c r="I100" s="22">
        <v>161.5</v>
      </c>
      <c r="J100" s="22">
        <v>254</v>
      </c>
      <c r="K100" s="22">
        <v>405</v>
      </c>
      <c r="L100" s="22">
        <v>695</v>
      </c>
    </row>
    <row r="101" spans="1:12">
      <c r="A101" s="9" t="str">
        <f t="shared" si="11"/>
        <v>item_conf</v>
      </c>
      <c r="B101" s="16">
        <f t="shared" si="9"/>
        <v>1</v>
      </c>
      <c r="C101" s="16">
        <f t="shared" si="10"/>
        <v>14</v>
      </c>
      <c r="D101" s="16">
        <v>13</v>
      </c>
      <c r="E101" s="10" t="s">
        <v>105</v>
      </c>
      <c r="F101" s="23" t="s">
        <v>936</v>
      </c>
      <c r="G101" s="7" t="str">
        <f t="shared" si="12"/>
        <v xml:space="preserve">    [Max Stack Wt] = CONVERT(decimal(18,3),Column14),</v>
      </c>
      <c r="H101" s="22">
        <v>0</v>
      </c>
      <c r="I101" s="22">
        <v>0</v>
      </c>
      <c r="J101" s="22">
        <v>0</v>
      </c>
      <c r="K101" s="22">
        <v>0</v>
      </c>
      <c r="L101" s="22">
        <v>0</v>
      </c>
    </row>
    <row r="102" spans="1:12">
      <c r="A102" s="9" t="str">
        <f t="shared" si="11"/>
        <v>item_conf</v>
      </c>
      <c r="B102" s="16">
        <f t="shared" si="9"/>
        <v>1</v>
      </c>
      <c r="C102" s="16">
        <f t="shared" si="10"/>
        <v>15</v>
      </c>
      <c r="D102" s="16">
        <v>14</v>
      </c>
      <c r="E102" s="10" t="s">
        <v>106</v>
      </c>
      <c r="F102" s="23" t="s">
        <v>936</v>
      </c>
      <c r="G102" s="7" t="str">
        <f t="shared" si="12"/>
        <v xml:space="preserve">    [Min Stack Area] = CONVERT(decimal(18,3),Column15),</v>
      </c>
      <c r="H102" s="22">
        <v>0</v>
      </c>
      <c r="I102" s="22">
        <v>0</v>
      </c>
      <c r="J102" s="22">
        <v>0</v>
      </c>
      <c r="K102" s="22">
        <v>0</v>
      </c>
      <c r="L102" s="22">
        <v>0</v>
      </c>
    </row>
    <row r="103" spans="1:12">
      <c r="A103" s="9" t="str">
        <f t="shared" si="11"/>
        <v>item_conf</v>
      </c>
      <c r="B103" s="16">
        <f t="shared" si="9"/>
        <v>1</v>
      </c>
      <c r="C103" s="16">
        <f t="shared" si="10"/>
        <v>16</v>
      </c>
      <c r="D103" s="16">
        <v>15</v>
      </c>
      <c r="E103" s="10" t="s">
        <v>107</v>
      </c>
      <c r="F103" s="23" t="s">
        <v>904</v>
      </c>
      <c r="G103" s="7" t="str">
        <f t="shared" si="12"/>
        <v xml:space="preserve">    [Inv Check Lev] = CONVERT(smallint,Column16),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</row>
    <row r="104" spans="1:12">
      <c r="A104" s="9" t="str">
        <f t="shared" si="11"/>
        <v>item_conf</v>
      </c>
      <c r="B104" s="16">
        <f t="shared" si="9"/>
        <v>1</v>
      </c>
      <c r="C104" s="16">
        <f t="shared" si="10"/>
        <v>17</v>
      </c>
      <c r="D104" s="16">
        <v>16</v>
      </c>
      <c r="E104" s="10" t="s">
        <v>108</v>
      </c>
      <c r="F104" s="23" t="s">
        <v>936</v>
      </c>
      <c r="G104" s="7" t="str">
        <f t="shared" si="12"/>
        <v xml:space="preserve">    [Item Vol] = CONVERT(decimal(18,3),Column17),</v>
      </c>
      <c r="H104" s="22">
        <v>34650</v>
      </c>
      <c r="I104" s="22">
        <v>97500</v>
      </c>
      <c r="J104" s="22">
        <v>21175</v>
      </c>
      <c r="K104" s="22">
        <v>378000</v>
      </c>
      <c r="L104" s="22">
        <v>54600</v>
      </c>
    </row>
    <row r="105" spans="1:12">
      <c r="A105" s="9" t="str">
        <f t="shared" si="11"/>
        <v>item_conf</v>
      </c>
      <c r="B105" s="16">
        <f t="shared" si="9"/>
        <v>2</v>
      </c>
      <c r="C105" s="16">
        <f t="shared" si="10"/>
        <v>18</v>
      </c>
      <c r="D105" s="16">
        <v>17</v>
      </c>
      <c r="E105" s="7" t="s">
        <v>109</v>
      </c>
      <c r="F105" s="23" t="s">
        <v>908</v>
      </c>
      <c r="G105" s="7" t="str">
        <f t="shared" si="12"/>
        <v xml:space="preserve">    [Velocity Code] = CONVERT(varchar(5),Column18),</v>
      </c>
      <c r="H105" s="22" t="s">
        <v>260</v>
      </c>
      <c r="I105" s="22" t="s">
        <v>260</v>
      </c>
      <c r="J105" s="22" t="s">
        <v>273</v>
      </c>
      <c r="K105" s="22" t="s">
        <v>273</v>
      </c>
      <c r="L105" s="22" t="s">
        <v>274</v>
      </c>
    </row>
    <row r="106" spans="1:12">
      <c r="A106" s="9" t="str">
        <f t="shared" si="11"/>
        <v>item_conf</v>
      </c>
      <c r="B106" s="16">
        <f t="shared" si="9"/>
        <v>1</v>
      </c>
      <c r="C106" s="16">
        <f t="shared" si="10"/>
        <v>19</v>
      </c>
      <c r="D106" s="16">
        <v>18</v>
      </c>
      <c r="E106" s="10" t="s">
        <v>110</v>
      </c>
      <c r="F106" s="23" t="s">
        <v>905</v>
      </c>
      <c r="G106" s="7" t="str">
        <f t="shared" si="12"/>
        <v xml:space="preserve">    [Vacuum Code] = CONVERT(varchar(1),Column19),</v>
      </c>
      <c r="H106" s="22">
        <v>0</v>
      </c>
      <c r="I106" s="22">
        <v>0</v>
      </c>
      <c r="J106" s="22">
        <v>0</v>
      </c>
      <c r="K106" s="22">
        <v>0</v>
      </c>
      <c r="L106" s="22">
        <v>0</v>
      </c>
    </row>
    <row r="107" spans="1:12">
      <c r="A107" s="9" t="str">
        <f t="shared" si="11"/>
        <v>item_conf</v>
      </c>
      <c r="B107" s="16">
        <f t="shared" si="9"/>
        <v>1</v>
      </c>
      <c r="C107" s="16">
        <f t="shared" si="10"/>
        <v>20</v>
      </c>
      <c r="D107" s="16">
        <v>19</v>
      </c>
      <c r="E107" s="10" t="s">
        <v>111</v>
      </c>
      <c r="F107" s="23" t="s">
        <v>905</v>
      </c>
      <c r="G107" s="7" t="str">
        <f t="shared" si="12"/>
        <v xml:space="preserve">    [Serial Num Reqd] = CONVERT(varchar(1),Column20),</v>
      </c>
      <c r="H107" s="22" t="s">
        <v>241</v>
      </c>
      <c r="I107" s="22" t="s">
        <v>241</v>
      </c>
      <c r="J107" s="22" t="s">
        <v>241</v>
      </c>
      <c r="K107" s="22" t="s">
        <v>241</v>
      </c>
      <c r="L107" s="22" t="s">
        <v>53</v>
      </c>
    </row>
    <row r="108" spans="1:12">
      <c r="A108" s="9" t="str">
        <f t="shared" si="11"/>
        <v>item_conf</v>
      </c>
      <c r="B108" s="16">
        <f t="shared" si="9"/>
        <v>1</v>
      </c>
      <c r="C108" s="16">
        <f t="shared" si="10"/>
        <v>21</v>
      </c>
      <c r="D108" s="16">
        <v>20</v>
      </c>
      <c r="E108" s="10" t="s">
        <v>112</v>
      </c>
      <c r="F108" s="23" t="s">
        <v>905</v>
      </c>
      <c r="G108" s="7" t="str">
        <f t="shared" si="12"/>
        <v xml:space="preserve">    [New Item] = CONVERT(varchar(1),Column21),</v>
      </c>
      <c r="H108" s="22" t="s">
        <v>241</v>
      </c>
      <c r="I108" s="22" t="s">
        <v>241</v>
      </c>
      <c r="J108" s="22" t="s">
        <v>241</v>
      </c>
      <c r="K108" s="22" t="s">
        <v>241</v>
      </c>
      <c r="L108" s="22" t="s">
        <v>53</v>
      </c>
    </row>
    <row r="109" spans="1:12">
      <c r="A109" s="9" t="str">
        <f t="shared" si="11"/>
        <v>item_conf</v>
      </c>
      <c r="B109" s="16">
        <f t="shared" si="9"/>
        <v>1</v>
      </c>
      <c r="C109" s="16">
        <f t="shared" si="10"/>
        <v>22</v>
      </c>
      <c r="D109" s="16">
        <v>21</v>
      </c>
      <c r="E109" s="10" t="s">
        <v>113</v>
      </c>
      <c r="F109" s="23" t="s">
        <v>904</v>
      </c>
      <c r="G109" s="7" t="str">
        <f t="shared" si="12"/>
        <v xml:space="preserve">    [Stackability] = CONVERT(smallint,Column22),</v>
      </c>
      <c r="H109" s="22">
        <v>0</v>
      </c>
      <c r="I109" s="22">
        <v>0</v>
      </c>
      <c r="J109" s="22">
        <v>0</v>
      </c>
      <c r="K109" s="22">
        <v>0</v>
      </c>
      <c r="L109" s="22">
        <v>0</v>
      </c>
    </row>
    <row r="110" spans="1:12">
      <c r="A110" s="9" t="str">
        <f t="shared" si="11"/>
        <v>item_conf</v>
      </c>
      <c r="B110" s="16">
        <f t="shared" si="9"/>
        <v>1</v>
      </c>
      <c r="C110" s="16">
        <f t="shared" si="10"/>
        <v>23</v>
      </c>
      <c r="D110" s="16">
        <v>22</v>
      </c>
      <c r="E110" s="10" t="s">
        <v>114</v>
      </c>
      <c r="F110" s="23" t="s">
        <v>936</v>
      </c>
      <c r="G110" s="7" t="str">
        <f t="shared" si="12"/>
        <v xml:space="preserve">    [Net Weight] = CONVERT(decimal(18,3),Column23),</v>
      </c>
      <c r="H110" s="22">
        <v>0</v>
      </c>
      <c r="I110" s="22">
        <v>0</v>
      </c>
      <c r="J110" s="22">
        <v>0</v>
      </c>
      <c r="K110" s="22">
        <v>0</v>
      </c>
      <c r="L110" s="22">
        <v>0</v>
      </c>
    </row>
    <row r="111" spans="1:12">
      <c r="A111" s="9" t="str">
        <f t="shared" si="11"/>
        <v>item_conf</v>
      </c>
      <c r="B111" s="16">
        <f t="shared" si="9"/>
        <v>1</v>
      </c>
      <c r="C111" s="16">
        <f t="shared" si="10"/>
        <v>24</v>
      </c>
      <c r="D111" s="16">
        <v>23</v>
      </c>
      <c r="E111" s="10" t="s">
        <v>115</v>
      </c>
      <c r="F111" s="23" t="s">
        <v>907</v>
      </c>
      <c r="G111" s="7" t="str">
        <f t="shared" si="12"/>
        <v xml:space="preserve">    [Measure Qty] = CONVERT(Int,Column24),</v>
      </c>
      <c r="H111" s="22">
        <v>10000</v>
      </c>
      <c r="I111" s="22">
        <v>10000</v>
      </c>
      <c r="J111" s="22">
        <v>10000</v>
      </c>
      <c r="K111" s="22">
        <v>1000</v>
      </c>
      <c r="L111" s="22">
        <v>12000</v>
      </c>
    </row>
    <row r="112" spans="1:12">
      <c r="A112" s="9" t="str">
        <f t="shared" si="11"/>
        <v>item_conf</v>
      </c>
      <c r="B112" s="16">
        <f t="shared" si="9"/>
        <v>1</v>
      </c>
      <c r="C112" s="16">
        <f t="shared" si="10"/>
        <v>25</v>
      </c>
      <c r="D112" s="16">
        <v>24</v>
      </c>
      <c r="E112" s="10" t="s">
        <v>116</v>
      </c>
      <c r="F112" s="23" t="s">
        <v>909</v>
      </c>
      <c r="G112" s="7" t="str">
        <f t="shared" si="12"/>
        <v xml:space="preserve">    [Barcode 2] = CONVERT(varchar(20),Column25),</v>
      </c>
      <c r="H112" s="22" t="s">
        <v>53</v>
      </c>
      <c r="I112" s="22" t="s">
        <v>53</v>
      </c>
      <c r="J112" s="22" t="s">
        <v>53</v>
      </c>
      <c r="K112" s="22" t="s">
        <v>53</v>
      </c>
      <c r="L112" s="22" t="s">
        <v>53</v>
      </c>
    </row>
    <row r="113" spans="1:12">
      <c r="A113" s="9" t="str">
        <f t="shared" si="11"/>
        <v>item_conf</v>
      </c>
      <c r="B113" s="16">
        <f t="shared" si="9"/>
        <v>1</v>
      </c>
      <c r="C113" s="16">
        <f t="shared" si="10"/>
        <v>26</v>
      </c>
      <c r="D113" s="16">
        <v>25</v>
      </c>
      <c r="E113" s="10" t="s">
        <v>117</v>
      </c>
      <c r="F113" s="23" t="s">
        <v>909</v>
      </c>
      <c r="G113" s="7" t="str">
        <f t="shared" si="12"/>
        <v xml:space="preserve">    [Barcode 3] = CONVERT(varchar(20),Column26),</v>
      </c>
      <c r="H113" s="22" t="s">
        <v>53</v>
      </c>
      <c r="I113" s="22" t="s">
        <v>53</v>
      </c>
      <c r="J113" s="22" t="s">
        <v>53</v>
      </c>
      <c r="K113" s="22" t="s">
        <v>53</v>
      </c>
      <c r="L113" s="22" t="s">
        <v>53</v>
      </c>
    </row>
    <row r="114" spans="1:12">
      <c r="A114" s="9" t="str">
        <f t="shared" si="11"/>
        <v>item_conf</v>
      </c>
      <c r="B114" s="16">
        <f t="shared" si="9"/>
        <v>1</v>
      </c>
      <c r="C114" s="16">
        <f t="shared" si="10"/>
        <v>27</v>
      </c>
      <c r="D114" s="16">
        <v>26</v>
      </c>
      <c r="E114" s="10" t="s">
        <v>118</v>
      </c>
      <c r="F114" s="23" t="s">
        <v>909</v>
      </c>
      <c r="G114" s="7" t="str">
        <f t="shared" si="12"/>
        <v xml:space="preserve">    [Barcode 4] = CONVERT(varchar(20),Column27),</v>
      </c>
      <c r="H114" s="22" t="s">
        <v>53</v>
      </c>
      <c r="I114" s="22" t="s">
        <v>53</v>
      </c>
      <c r="J114" s="22" t="s">
        <v>53</v>
      </c>
      <c r="K114" s="22" t="s">
        <v>53</v>
      </c>
      <c r="L114" s="22" t="s">
        <v>53</v>
      </c>
    </row>
    <row r="115" spans="1:12">
      <c r="A115" s="9" t="str">
        <f t="shared" si="11"/>
        <v>item_conf</v>
      </c>
      <c r="C115" s="16">
        <v>0</v>
      </c>
      <c r="G115" s="7" t="str">
        <f>"FROM Kolding.["&amp;A115&amp;"]"</f>
        <v>FROM Kolding.[item_conf]</v>
      </c>
    </row>
    <row r="116" spans="1:12" ht="30" customHeight="1">
      <c r="A116" s="9" t="s">
        <v>1060</v>
      </c>
      <c r="B116" s="16">
        <f t="shared" ref="B116:B147" si="13">COUNTIF(E:E,E116)</f>
        <v>0</v>
      </c>
      <c r="C116" s="16">
        <f>IF(A116=A114,C114+1,0)</f>
        <v>0</v>
      </c>
      <c r="E116" s="6"/>
      <c r="F116" s="23"/>
      <c r="G116" s="14" t="str">
        <f>"CREATE VIEW Kolding_LTS.["&amp;A116&amp;"] as select "</f>
        <v xml:space="preserve">CREATE VIEW Kolding_LTS.[item_ext] as select </v>
      </c>
    </row>
    <row r="117" spans="1:12">
      <c r="A117" s="9" t="str">
        <f>A116</f>
        <v>item_ext</v>
      </c>
      <c r="B117" s="16">
        <f t="shared" si="13"/>
        <v>10</v>
      </c>
      <c r="C117" s="16">
        <f t="shared" ref="C117:C147" si="14">IF(A117=A116,C116+1,0)</f>
        <v>1</v>
      </c>
      <c r="D117" s="16">
        <v>0</v>
      </c>
      <c r="E117" s="7" t="s">
        <v>95</v>
      </c>
      <c r="F117" s="23" t="s">
        <v>906</v>
      </c>
      <c r="G117" s="7" t="str">
        <f t="shared" si="12"/>
        <v xml:space="preserve">    [Item Code] = CONVERT(int,Column1),</v>
      </c>
      <c r="H117" s="22" t="s">
        <v>254</v>
      </c>
      <c r="I117" s="22" t="s">
        <v>255</v>
      </c>
      <c r="J117" s="22" t="s">
        <v>262</v>
      </c>
      <c r="K117" s="22" t="s">
        <v>263</v>
      </c>
      <c r="L117" s="22" t="s">
        <v>264</v>
      </c>
    </row>
    <row r="118" spans="1:12">
      <c r="A118" s="9" t="str">
        <f t="shared" ref="A118:A148" si="15">A117</f>
        <v>item_ext</v>
      </c>
      <c r="B118" s="16">
        <f t="shared" si="13"/>
        <v>8</v>
      </c>
      <c r="C118" s="16">
        <f t="shared" si="14"/>
        <v>2</v>
      </c>
      <c r="D118" s="16">
        <v>1</v>
      </c>
      <c r="E118" s="7" t="s">
        <v>96</v>
      </c>
      <c r="F118" s="23" t="s">
        <v>931</v>
      </c>
      <c r="G118" s="7" t="str">
        <f t="shared" si="12"/>
        <v xml:space="preserve">    [Client Code] = CONVERT(varchar(10),Column2),</v>
      </c>
      <c r="H118" s="22" t="s">
        <v>256</v>
      </c>
      <c r="I118" s="22" t="s">
        <v>256</v>
      </c>
      <c r="J118" s="22" t="s">
        <v>256</v>
      </c>
      <c r="K118" s="22" t="s">
        <v>256</v>
      </c>
      <c r="L118" s="22" t="s">
        <v>256</v>
      </c>
    </row>
    <row r="119" spans="1:12">
      <c r="A119" s="9" t="str">
        <f t="shared" si="15"/>
        <v>item_ext</v>
      </c>
      <c r="B119" s="16">
        <f t="shared" si="13"/>
        <v>5</v>
      </c>
      <c r="C119" s="16">
        <f t="shared" si="14"/>
        <v>3</v>
      </c>
      <c r="D119" s="16">
        <v>2</v>
      </c>
      <c r="E119" s="7" t="s">
        <v>97</v>
      </c>
      <c r="F119" s="23" t="s">
        <v>908</v>
      </c>
      <c r="G119" s="7" t="str">
        <f t="shared" si="12"/>
        <v xml:space="preserve">    [Item Conf] = CONVERT(varchar(5),Column3),</v>
      </c>
      <c r="H119" s="22" t="s">
        <v>257</v>
      </c>
      <c r="I119" s="22" t="s">
        <v>257</v>
      </c>
      <c r="J119" s="22" t="s">
        <v>257</v>
      </c>
      <c r="K119" s="22" t="s">
        <v>257</v>
      </c>
      <c r="L119" s="22" t="s">
        <v>257</v>
      </c>
    </row>
    <row r="120" spans="1:12">
      <c r="A120" s="9" t="str">
        <f t="shared" si="15"/>
        <v>item_ext</v>
      </c>
      <c r="B120" s="16">
        <f t="shared" si="13"/>
        <v>1</v>
      </c>
      <c r="C120" s="16">
        <f t="shared" si="14"/>
        <v>4</v>
      </c>
      <c r="D120" s="16">
        <v>3</v>
      </c>
      <c r="E120" s="10" t="s">
        <v>120</v>
      </c>
      <c r="F120" s="23" t="s">
        <v>904</v>
      </c>
      <c r="G120" s="7" t="str">
        <f t="shared" si="12"/>
        <v xml:space="preserve">    [Result] = CONVERT(smallint,Column4),</v>
      </c>
      <c r="H120" s="22">
        <v>0</v>
      </c>
      <c r="I120" s="22">
        <v>0</v>
      </c>
      <c r="J120" s="22">
        <v>0</v>
      </c>
      <c r="K120" s="22">
        <v>0</v>
      </c>
      <c r="L120" s="22">
        <v>0</v>
      </c>
    </row>
    <row r="121" spans="1:12">
      <c r="A121" s="9" t="str">
        <f t="shared" si="15"/>
        <v>item_ext</v>
      </c>
      <c r="B121" s="16">
        <f t="shared" si="13"/>
        <v>1</v>
      </c>
      <c r="C121" s="16">
        <f t="shared" si="14"/>
        <v>5</v>
      </c>
      <c r="D121" s="16">
        <v>4</v>
      </c>
      <c r="E121" s="10" t="s">
        <v>121</v>
      </c>
      <c r="F121" s="23" t="s">
        <v>904</v>
      </c>
      <c r="G121" s="7" t="str">
        <f t="shared" si="12"/>
        <v xml:space="preserve">    [Min Refill1] = CONVERT(smallint,Column5),</v>
      </c>
      <c r="H121" s="22">
        <v>0</v>
      </c>
      <c r="I121" s="22">
        <v>0</v>
      </c>
      <c r="J121" s="22">
        <v>0</v>
      </c>
      <c r="K121" s="22">
        <v>0</v>
      </c>
      <c r="L121" s="22">
        <v>0</v>
      </c>
    </row>
    <row r="122" spans="1:12">
      <c r="A122" s="9" t="str">
        <f t="shared" si="15"/>
        <v>item_ext</v>
      </c>
      <c r="B122" s="16">
        <f t="shared" si="13"/>
        <v>1</v>
      </c>
      <c r="C122" s="16">
        <f t="shared" si="14"/>
        <v>6</v>
      </c>
      <c r="D122" s="16">
        <v>5</v>
      </c>
      <c r="E122" s="10" t="s">
        <v>122</v>
      </c>
      <c r="F122" s="23" t="s">
        <v>904</v>
      </c>
      <c r="G122" s="7" t="str">
        <f t="shared" si="12"/>
        <v xml:space="preserve">    [Max Refill1] = CONVERT(smallint,Column6),</v>
      </c>
      <c r="H122" s="22">
        <v>0</v>
      </c>
      <c r="I122" s="22">
        <v>0</v>
      </c>
      <c r="J122" s="22">
        <v>0</v>
      </c>
      <c r="K122" s="22">
        <v>0</v>
      </c>
      <c r="L122" s="22">
        <v>0</v>
      </c>
    </row>
    <row r="123" spans="1:12">
      <c r="A123" s="9" t="str">
        <f t="shared" si="15"/>
        <v>item_ext</v>
      </c>
      <c r="B123" s="16">
        <f t="shared" si="13"/>
        <v>1</v>
      </c>
      <c r="C123" s="16">
        <f t="shared" si="14"/>
        <v>7</v>
      </c>
      <c r="D123" s="16">
        <v>6</v>
      </c>
      <c r="E123" s="10" t="s">
        <v>123</v>
      </c>
      <c r="F123" s="23" t="s">
        <v>904</v>
      </c>
      <c r="G123" s="7" t="str">
        <f t="shared" si="12"/>
        <v xml:space="preserve">    [Min Refill2] = CONVERT(smallint,Column7),</v>
      </c>
      <c r="H123" s="22">
        <v>0</v>
      </c>
      <c r="I123" s="22">
        <v>0</v>
      </c>
      <c r="J123" s="22">
        <v>0</v>
      </c>
      <c r="K123" s="22">
        <v>0</v>
      </c>
      <c r="L123" s="22">
        <v>0</v>
      </c>
    </row>
    <row r="124" spans="1:12">
      <c r="A124" s="9" t="str">
        <f t="shared" si="15"/>
        <v>item_ext</v>
      </c>
      <c r="B124" s="16">
        <f t="shared" si="13"/>
        <v>1</v>
      </c>
      <c r="C124" s="16">
        <f t="shared" si="14"/>
        <v>8</v>
      </c>
      <c r="D124" s="16">
        <v>7</v>
      </c>
      <c r="E124" s="10" t="s">
        <v>124</v>
      </c>
      <c r="F124" s="23" t="s">
        <v>904</v>
      </c>
      <c r="G124" s="7" t="str">
        <f t="shared" si="12"/>
        <v xml:space="preserve">    [Max Refill2] = CONVERT(smallint,Column8),</v>
      </c>
      <c r="H124" s="22">
        <v>0</v>
      </c>
      <c r="I124" s="22">
        <v>0</v>
      </c>
      <c r="J124" s="22">
        <v>0</v>
      </c>
      <c r="K124" s="22">
        <v>0</v>
      </c>
      <c r="L124" s="22">
        <v>0</v>
      </c>
    </row>
    <row r="125" spans="1:12">
      <c r="A125" s="9" t="str">
        <f t="shared" si="15"/>
        <v>item_ext</v>
      </c>
      <c r="B125" s="16">
        <f t="shared" si="13"/>
        <v>1</v>
      </c>
      <c r="C125" s="16">
        <f t="shared" si="14"/>
        <v>9</v>
      </c>
      <c r="D125" s="16">
        <v>8</v>
      </c>
      <c r="E125" s="10" t="s">
        <v>125</v>
      </c>
      <c r="F125" s="23" t="s">
        <v>904</v>
      </c>
      <c r="G125" s="7" t="str">
        <f t="shared" si="12"/>
        <v xml:space="preserve">    [QA Type] = CONVERT(smallint,Column9),</v>
      </c>
      <c r="H125" s="22">
        <v>0</v>
      </c>
      <c r="I125" s="22">
        <v>0</v>
      </c>
      <c r="J125" s="22">
        <v>0</v>
      </c>
      <c r="K125" s="22">
        <v>0</v>
      </c>
      <c r="L125" s="22">
        <v>0</v>
      </c>
    </row>
    <row r="126" spans="1:12">
      <c r="A126" s="9" t="str">
        <f t="shared" si="15"/>
        <v>item_ext</v>
      </c>
      <c r="B126" s="16">
        <f t="shared" si="13"/>
        <v>1</v>
      </c>
      <c r="C126" s="16">
        <f t="shared" si="14"/>
        <v>10</v>
      </c>
      <c r="D126" s="16">
        <v>9</v>
      </c>
      <c r="E126" s="10" t="s">
        <v>126</v>
      </c>
      <c r="F126" s="23" t="s">
        <v>904</v>
      </c>
      <c r="G126" s="7" t="str">
        <f t="shared" si="12"/>
        <v xml:space="preserve">    [Recpt Max Diff] = CONVERT(smallint,Column10),</v>
      </c>
      <c r="H126" s="22">
        <v>100</v>
      </c>
      <c r="I126" s="22">
        <v>100</v>
      </c>
      <c r="J126" s="22">
        <v>100</v>
      </c>
      <c r="K126" s="22">
        <v>100</v>
      </c>
      <c r="L126" s="22">
        <v>100</v>
      </c>
    </row>
    <row r="127" spans="1:12">
      <c r="A127" s="9" t="str">
        <f t="shared" si="15"/>
        <v>item_ext</v>
      </c>
      <c r="B127" s="16">
        <f t="shared" si="13"/>
        <v>2</v>
      </c>
      <c r="C127" s="16">
        <f t="shared" si="14"/>
        <v>11</v>
      </c>
      <c r="D127" s="16">
        <v>10</v>
      </c>
      <c r="E127" s="7" t="s">
        <v>127</v>
      </c>
      <c r="F127" s="23" t="s">
        <v>904</v>
      </c>
      <c r="G127" s="7" t="str">
        <f t="shared" si="12"/>
        <v xml:space="preserve">    [Certificate] = CONVERT(smallint,Column11),</v>
      </c>
      <c r="H127" s="22">
        <v>0</v>
      </c>
      <c r="I127" s="22">
        <v>0</v>
      </c>
      <c r="J127" s="22">
        <v>0</v>
      </c>
      <c r="K127" s="22">
        <v>0</v>
      </c>
      <c r="L127" s="22">
        <v>0</v>
      </c>
    </row>
    <row r="128" spans="1:12">
      <c r="A128" s="9" t="str">
        <f t="shared" si="15"/>
        <v>item_ext</v>
      </c>
      <c r="B128" s="16">
        <f t="shared" si="13"/>
        <v>1</v>
      </c>
      <c r="C128" s="16">
        <f t="shared" si="14"/>
        <v>12</v>
      </c>
      <c r="D128" s="16">
        <v>11</v>
      </c>
      <c r="E128" s="10" t="s">
        <v>128</v>
      </c>
      <c r="F128" s="23" t="s">
        <v>904</v>
      </c>
      <c r="G128" s="7" t="str">
        <f t="shared" si="12"/>
        <v xml:space="preserve">    [Precision] = CONVERT(smallint,Column12),</v>
      </c>
      <c r="H128" s="22">
        <v>1</v>
      </c>
      <c r="I128" s="22">
        <v>1</v>
      </c>
      <c r="J128" s="22">
        <v>1</v>
      </c>
      <c r="K128" s="22">
        <v>1</v>
      </c>
      <c r="L128" s="22">
        <v>1</v>
      </c>
    </row>
    <row r="129" spans="1:12">
      <c r="A129" s="9" t="str">
        <f t="shared" si="15"/>
        <v>item_ext</v>
      </c>
      <c r="B129" s="16">
        <f t="shared" si="13"/>
        <v>1</v>
      </c>
      <c r="C129" s="16">
        <f t="shared" si="14"/>
        <v>13</v>
      </c>
      <c r="D129" s="16">
        <v>12</v>
      </c>
      <c r="E129" s="10" t="s">
        <v>129</v>
      </c>
      <c r="F129" s="23" t="s">
        <v>904</v>
      </c>
      <c r="G129" s="7" t="str">
        <f t="shared" si="12"/>
        <v xml:space="preserve">    [Used For Hotel] = CONVERT(smallint,Column13),</v>
      </c>
      <c r="H129" s="22">
        <v>0</v>
      </c>
      <c r="I129" s="22">
        <v>0</v>
      </c>
      <c r="J129" s="22">
        <v>0</v>
      </c>
      <c r="K129" s="22">
        <v>0</v>
      </c>
      <c r="L129" s="22">
        <v>0</v>
      </c>
    </row>
    <row r="130" spans="1:12">
      <c r="A130" s="9" t="str">
        <f t="shared" si="15"/>
        <v>item_ext</v>
      </c>
      <c r="B130" s="16">
        <f t="shared" si="13"/>
        <v>1</v>
      </c>
      <c r="C130" s="16">
        <f t="shared" si="14"/>
        <v>14</v>
      </c>
      <c r="D130" s="16">
        <v>13</v>
      </c>
      <c r="E130" s="10" t="s">
        <v>130</v>
      </c>
      <c r="F130" s="23" t="s">
        <v>904</v>
      </c>
      <c r="G130" s="7" t="str">
        <f t="shared" si="12"/>
        <v xml:space="preserve">    [General Cargo] = CONVERT(smallint,Column14),</v>
      </c>
      <c r="H130" s="22">
        <v>0</v>
      </c>
      <c r="I130" s="22">
        <v>0</v>
      </c>
      <c r="J130" s="22">
        <v>0</v>
      </c>
      <c r="K130" s="22">
        <v>0</v>
      </c>
      <c r="L130" s="22">
        <v>0</v>
      </c>
    </row>
    <row r="131" spans="1:12">
      <c r="A131" s="9" t="str">
        <f t="shared" si="15"/>
        <v>item_ext</v>
      </c>
      <c r="B131" s="16">
        <f t="shared" si="13"/>
        <v>1</v>
      </c>
      <c r="C131" s="16">
        <f t="shared" si="14"/>
        <v>15</v>
      </c>
      <c r="D131" s="16">
        <v>14</v>
      </c>
      <c r="E131" s="10" t="s">
        <v>131</v>
      </c>
      <c r="F131" s="23" t="s">
        <v>906</v>
      </c>
      <c r="G131" s="7" t="str">
        <f t="shared" si="12"/>
        <v xml:space="preserve">    [Count In Box] = CONVERT(int,Column15),</v>
      </c>
      <c r="H131" s="22">
        <v>10000</v>
      </c>
      <c r="I131" s="22">
        <v>10000</v>
      </c>
      <c r="J131" s="22">
        <v>10000</v>
      </c>
      <c r="K131" s="22">
        <v>25000</v>
      </c>
      <c r="L131" s="22">
        <v>12000</v>
      </c>
    </row>
    <row r="132" spans="1:12">
      <c r="A132" s="9" t="str">
        <f t="shared" si="15"/>
        <v>item_ext</v>
      </c>
      <c r="B132" s="16">
        <f t="shared" si="13"/>
        <v>1</v>
      </c>
      <c r="C132" s="16">
        <f t="shared" si="14"/>
        <v>16</v>
      </c>
      <c r="D132" s="16">
        <v>15</v>
      </c>
      <c r="E132" s="10" t="s">
        <v>132</v>
      </c>
      <c r="F132" s="23" t="s">
        <v>906</v>
      </c>
      <c r="G132" s="7" t="str">
        <f t="shared" si="12"/>
        <v xml:space="preserve">    [Count Of Box] = CONVERT(int,Column16),</v>
      </c>
      <c r="H132" s="22">
        <v>15</v>
      </c>
      <c r="I132" s="22">
        <v>8</v>
      </c>
      <c r="J132" s="22">
        <v>4</v>
      </c>
      <c r="K132" s="22">
        <v>1</v>
      </c>
      <c r="L132" s="22">
        <v>1</v>
      </c>
    </row>
    <row r="133" spans="1:12">
      <c r="A133" s="9" t="str">
        <f t="shared" si="15"/>
        <v>item_ext</v>
      </c>
      <c r="B133" s="16">
        <f t="shared" si="13"/>
        <v>1</v>
      </c>
      <c r="C133" s="16">
        <f t="shared" si="14"/>
        <v>17</v>
      </c>
      <c r="D133" s="16">
        <v>16</v>
      </c>
      <c r="E133" s="10" t="s">
        <v>133</v>
      </c>
      <c r="F133" s="23" t="s">
        <v>936</v>
      </c>
      <c r="G133" s="7" t="str">
        <f t="shared" si="12"/>
        <v xml:space="preserve">    [Pallet Height] = CONVERT(decimal(18,3),Column17),</v>
      </c>
      <c r="H133" s="22">
        <v>0</v>
      </c>
      <c r="I133" s="22">
        <v>0</v>
      </c>
      <c r="J133" s="22">
        <v>0</v>
      </c>
      <c r="K133" s="22">
        <v>0</v>
      </c>
      <c r="L133" s="22">
        <v>0</v>
      </c>
    </row>
    <row r="134" spans="1:12">
      <c r="A134" s="9" t="str">
        <f t="shared" si="15"/>
        <v>item_ext</v>
      </c>
      <c r="B134" s="16">
        <f t="shared" si="13"/>
        <v>1</v>
      </c>
      <c r="C134" s="16">
        <f t="shared" si="14"/>
        <v>18</v>
      </c>
      <c r="D134" s="16">
        <v>17</v>
      </c>
      <c r="E134" s="10" t="s">
        <v>134</v>
      </c>
      <c r="F134" s="23" t="s">
        <v>928</v>
      </c>
      <c r="G134" s="7" t="str">
        <f t="shared" si="12"/>
        <v xml:space="preserve">    [Storage Area] = CONVERT(varchar(12),Column18),</v>
      </c>
      <c r="H134" s="22" t="s">
        <v>261</v>
      </c>
      <c r="I134" s="22" t="s">
        <v>261</v>
      </c>
      <c r="J134" s="22" t="s">
        <v>261</v>
      </c>
      <c r="K134" s="22" t="s">
        <v>261</v>
      </c>
      <c r="L134" s="22" t="s">
        <v>261</v>
      </c>
    </row>
    <row r="135" spans="1:12">
      <c r="A135" s="9" t="str">
        <f t="shared" si="15"/>
        <v>item_ext</v>
      </c>
      <c r="B135" s="16">
        <f t="shared" si="13"/>
        <v>1</v>
      </c>
      <c r="C135" s="16">
        <f t="shared" si="14"/>
        <v>19</v>
      </c>
      <c r="D135" s="16">
        <v>18</v>
      </c>
      <c r="E135" s="10" t="s">
        <v>135</v>
      </c>
      <c r="F135" s="23" t="s">
        <v>908</v>
      </c>
      <c r="G135" s="7" t="str">
        <f t="shared" si="12"/>
        <v xml:space="preserve">    [Handling Text] = CONVERT(varchar(5),Column19),</v>
      </c>
      <c r="H135" s="22" t="s">
        <v>53</v>
      </c>
      <c r="I135" s="22" t="s">
        <v>53</v>
      </c>
      <c r="J135" s="22" t="s">
        <v>53</v>
      </c>
      <c r="K135" s="22" t="s">
        <v>53</v>
      </c>
      <c r="L135" s="22" t="s">
        <v>53</v>
      </c>
    </row>
    <row r="136" spans="1:12">
      <c r="A136" s="9" t="str">
        <f t="shared" si="15"/>
        <v>item_ext</v>
      </c>
      <c r="B136" s="16">
        <f t="shared" si="13"/>
        <v>1</v>
      </c>
      <c r="C136" s="16">
        <f t="shared" si="14"/>
        <v>20</v>
      </c>
      <c r="D136" s="16">
        <v>19</v>
      </c>
      <c r="E136" s="10" t="s">
        <v>136</v>
      </c>
      <c r="F136" s="23" t="s">
        <v>908</v>
      </c>
      <c r="G136" s="7" t="str">
        <f t="shared" si="12"/>
        <v xml:space="preserve">    [Storage Type1] = CONVERT(varchar(5),Column20),</v>
      </c>
      <c r="H136" s="22" t="s">
        <v>53</v>
      </c>
      <c r="I136" s="22" t="s">
        <v>53</v>
      </c>
      <c r="J136" s="22" t="s">
        <v>53</v>
      </c>
      <c r="K136" s="22" t="s">
        <v>53</v>
      </c>
      <c r="L136" s="22" t="s">
        <v>53</v>
      </c>
    </row>
    <row r="137" spans="1:12">
      <c r="A137" s="9" t="str">
        <f t="shared" si="15"/>
        <v>item_ext</v>
      </c>
      <c r="B137" s="16">
        <f t="shared" si="13"/>
        <v>1</v>
      </c>
      <c r="C137" s="16">
        <f t="shared" si="14"/>
        <v>21</v>
      </c>
      <c r="D137" s="16">
        <v>20</v>
      </c>
      <c r="E137" s="10" t="s">
        <v>137</v>
      </c>
      <c r="F137" s="23" t="s">
        <v>908</v>
      </c>
      <c r="G137" s="7" t="str">
        <f t="shared" si="12"/>
        <v xml:space="preserve">    [Storage Type2] = CONVERT(varchar(5),Column21),</v>
      </c>
      <c r="H137" s="22" t="s">
        <v>53</v>
      </c>
      <c r="I137" s="22" t="s">
        <v>53</v>
      </c>
      <c r="J137" s="22" t="s">
        <v>53</v>
      </c>
      <c r="K137" s="22" t="s">
        <v>53</v>
      </c>
      <c r="L137" s="22" t="s">
        <v>53</v>
      </c>
    </row>
    <row r="138" spans="1:12">
      <c r="A138" s="9" t="str">
        <f t="shared" si="15"/>
        <v>item_ext</v>
      </c>
      <c r="B138" s="16">
        <f t="shared" si="13"/>
        <v>1</v>
      </c>
      <c r="C138" s="16">
        <f t="shared" si="14"/>
        <v>22</v>
      </c>
      <c r="D138" s="16">
        <v>21</v>
      </c>
      <c r="E138" s="10" t="s">
        <v>138</v>
      </c>
      <c r="F138" s="23" t="s">
        <v>908</v>
      </c>
      <c r="G138" s="7" t="str">
        <f t="shared" si="12"/>
        <v xml:space="preserve">    [Base Unit Vol] = CONVERT(varchar(5),Column22),</v>
      </c>
      <c r="H138" s="22" t="s">
        <v>53</v>
      </c>
      <c r="I138" s="22" t="s">
        <v>53</v>
      </c>
      <c r="J138" s="22" t="s">
        <v>53</v>
      </c>
      <c r="K138" s="22" t="s">
        <v>53</v>
      </c>
      <c r="L138" s="22" t="s">
        <v>53</v>
      </c>
    </row>
    <row r="139" spans="1:12">
      <c r="A139" s="9" t="str">
        <f t="shared" si="15"/>
        <v>item_ext</v>
      </c>
      <c r="B139" s="16">
        <f t="shared" si="13"/>
        <v>1</v>
      </c>
      <c r="C139" s="16">
        <f t="shared" si="14"/>
        <v>23</v>
      </c>
      <c r="D139" s="16">
        <v>22</v>
      </c>
      <c r="E139" s="10" t="s">
        <v>139</v>
      </c>
      <c r="F139" s="23" t="s">
        <v>937</v>
      </c>
      <c r="G139" s="7" t="str">
        <f t="shared" si="12"/>
        <v xml:space="preserve">    [QA Text] = CONVERT(varchar(80),Column23),</v>
      </c>
      <c r="H139" s="22" t="s">
        <v>53</v>
      </c>
      <c r="I139" s="22" t="s">
        <v>53</v>
      </c>
      <c r="J139" s="22" t="s">
        <v>53</v>
      </c>
      <c r="K139" s="22" t="s">
        <v>53</v>
      </c>
      <c r="L139" s="22" t="s">
        <v>53</v>
      </c>
    </row>
    <row r="140" spans="1:12">
      <c r="A140" s="9" t="str">
        <f t="shared" si="15"/>
        <v>item_ext</v>
      </c>
      <c r="B140" s="16">
        <f t="shared" si="13"/>
        <v>1</v>
      </c>
      <c r="C140" s="16">
        <f t="shared" si="14"/>
        <v>24</v>
      </c>
      <c r="D140" s="16">
        <v>23</v>
      </c>
      <c r="E140" s="10" t="s">
        <v>140</v>
      </c>
      <c r="F140" s="23" t="s">
        <v>908</v>
      </c>
      <c r="G140" s="7" t="str">
        <f t="shared" si="12"/>
        <v xml:space="preserve">    [Text Diff] = CONVERT(varchar(5),Column24),</v>
      </c>
      <c r="H140" s="22" t="s">
        <v>53</v>
      </c>
      <c r="I140" s="22" t="s">
        <v>53</v>
      </c>
      <c r="J140" s="22" t="s">
        <v>53</v>
      </c>
      <c r="K140" s="22" t="s">
        <v>53</v>
      </c>
      <c r="L140" s="22" t="s">
        <v>53</v>
      </c>
    </row>
    <row r="141" spans="1:12">
      <c r="A141" s="9" t="str">
        <f t="shared" si="15"/>
        <v>item_ext</v>
      </c>
      <c r="B141" s="16">
        <f t="shared" si="13"/>
        <v>1</v>
      </c>
      <c r="C141" s="16">
        <f t="shared" si="14"/>
        <v>25</v>
      </c>
      <c r="D141" s="16">
        <v>24</v>
      </c>
      <c r="E141" s="10" t="s">
        <v>141</v>
      </c>
      <c r="F141" s="23" t="s">
        <v>908</v>
      </c>
      <c r="G141" s="7" t="str">
        <f t="shared" si="12"/>
        <v xml:space="preserve">    [Base Weight Unit] = CONVERT(varchar(5),Column25),</v>
      </c>
      <c r="H141" s="22" t="s">
        <v>53</v>
      </c>
      <c r="I141" s="22" t="s">
        <v>53</v>
      </c>
      <c r="J141" s="22" t="s">
        <v>53</v>
      </c>
      <c r="K141" s="22" t="s">
        <v>53</v>
      </c>
      <c r="L141" s="22" t="s">
        <v>53</v>
      </c>
    </row>
    <row r="142" spans="1:12">
      <c r="A142" s="9" t="str">
        <f t="shared" si="15"/>
        <v>item_ext</v>
      </c>
      <c r="B142" s="16">
        <f t="shared" si="13"/>
        <v>1</v>
      </c>
      <c r="C142" s="16">
        <f t="shared" si="14"/>
        <v>26</v>
      </c>
      <c r="D142" s="16">
        <v>25</v>
      </c>
      <c r="E142" s="10" t="s">
        <v>142</v>
      </c>
      <c r="F142" s="23" t="s">
        <v>908</v>
      </c>
      <c r="G142" s="7" t="str">
        <f t="shared" si="12"/>
        <v xml:space="preserve">    [Base Length Unit] = CONVERT(varchar(5),Column26),</v>
      </c>
      <c r="H142" s="22" t="s">
        <v>53</v>
      </c>
      <c r="I142" s="22" t="s">
        <v>53</v>
      </c>
      <c r="J142" s="22" t="s">
        <v>53</v>
      </c>
      <c r="K142" s="22" t="s">
        <v>53</v>
      </c>
      <c r="L142" s="22" t="s">
        <v>53</v>
      </c>
    </row>
    <row r="143" spans="1:12">
      <c r="A143" s="9" t="str">
        <f t="shared" si="15"/>
        <v>item_ext</v>
      </c>
      <c r="B143" s="16">
        <f t="shared" si="13"/>
        <v>1</v>
      </c>
      <c r="C143" s="16">
        <f t="shared" si="14"/>
        <v>27</v>
      </c>
      <c r="D143" s="16">
        <v>26</v>
      </c>
      <c r="E143" s="10" t="s">
        <v>143</v>
      </c>
      <c r="F143" s="23" t="s">
        <v>931</v>
      </c>
      <c r="G143" s="7" t="str">
        <f t="shared" si="12"/>
        <v xml:space="preserve">    [Operator] = CONVERT(varchar(10),Column27),</v>
      </c>
      <c r="H143" s="22" t="s">
        <v>53</v>
      </c>
      <c r="I143" s="22" t="s">
        <v>53</v>
      </c>
      <c r="J143" s="22" t="s">
        <v>53</v>
      </c>
      <c r="K143" s="22" t="s">
        <v>53</v>
      </c>
      <c r="L143" s="22" t="s">
        <v>53</v>
      </c>
    </row>
    <row r="144" spans="1:12">
      <c r="A144" s="9" t="str">
        <f t="shared" si="15"/>
        <v>item_ext</v>
      </c>
      <c r="B144" s="16">
        <f t="shared" si="13"/>
        <v>2</v>
      </c>
      <c r="C144" s="16">
        <f t="shared" si="14"/>
        <v>28</v>
      </c>
      <c r="D144" s="16">
        <v>27</v>
      </c>
      <c r="E144" s="7" t="s">
        <v>144</v>
      </c>
      <c r="F144" s="23" t="s">
        <v>904</v>
      </c>
      <c r="G144" s="7" t="str">
        <f t="shared" si="12"/>
        <v xml:space="preserve">    [Special] = CONVERT(smallint,Column28),</v>
      </c>
      <c r="H144" s="22">
        <v>0</v>
      </c>
      <c r="I144" s="22">
        <v>0</v>
      </c>
      <c r="J144" s="22">
        <v>0</v>
      </c>
      <c r="K144" s="22">
        <v>0</v>
      </c>
      <c r="L144" s="22">
        <v>0</v>
      </c>
    </row>
    <row r="145" spans="1:12">
      <c r="A145" s="9" t="str">
        <f t="shared" si="15"/>
        <v>item_ext</v>
      </c>
      <c r="B145" s="16">
        <f t="shared" si="13"/>
        <v>1</v>
      </c>
      <c r="C145" s="16">
        <f t="shared" si="14"/>
        <v>29</v>
      </c>
      <c r="D145" s="16">
        <v>28</v>
      </c>
      <c r="E145" s="10" t="s">
        <v>145</v>
      </c>
      <c r="F145" s="23" t="s">
        <v>904</v>
      </c>
      <c r="G145" s="7" t="str">
        <f t="shared" si="12"/>
        <v xml:space="preserve">    [User Guide] = CONVERT(smallint,Column29),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</row>
    <row r="146" spans="1:12">
      <c r="A146" s="9" t="str">
        <f t="shared" si="15"/>
        <v>item_ext</v>
      </c>
      <c r="B146" s="16">
        <f t="shared" si="13"/>
        <v>1</v>
      </c>
      <c r="C146" s="16">
        <f t="shared" si="14"/>
        <v>30</v>
      </c>
      <c r="D146" s="16">
        <v>29</v>
      </c>
      <c r="E146" s="10" t="s">
        <v>146</v>
      </c>
      <c r="F146" s="23" t="s">
        <v>904</v>
      </c>
      <c r="G146" s="7" t="str">
        <f t="shared" si="12"/>
        <v xml:space="preserve">    [Dangerous] = CONVERT(smallint,Column30),</v>
      </c>
      <c r="H146" s="22">
        <v>0</v>
      </c>
      <c r="I146" s="22">
        <v>0</v>
      </c>
      <c r="J146" s="22">
        <v>0</v>
      </c>
      <c r="K146" s="22">
        <v>0</v>
      </c>
      <c r="L146" s="22">
        <v>0</v>
      </c>
    </row>
    <row r="147" spans="1:12">
      <c r="A147" s="9" t="str">
        <f t="shared" si="15"/>
        <v>item_ext</v>
      </c>
      <c r="B147" s="16">
        <f t="shared" si="13"/>
        <v>1</v>
      </c>
      <c r="C147" s="16">
        <f t="shared" si="14"/>
        <v>31</v>
      </c>
      <c r="D147" s="16">
        <v>30</v>
      </c>
      <c r="E147" s="10" t="s">
        <v>147</v>
      </c>
      <c r="F147" s="23" t="s">
        <v>906</v>
      </c>
      <c r="G147" s="7" t="str">
        <f t="shared" si="12"/>
        <v xml:space="preserve">    [Days Count] = CONVERT(int,Column31),</v>
      </c>
      <c r="H147" s="22">
        <v>3</v>
      </c>
      <c r="I147" s="22">
        <v>0</v>
      </c>
      <c r="J147" s="22">
        <v>0</v>
      </c>
      <c r="K147" s="22">
        <v>0</v>
      </c>
      <c r="L147" s="22">
        <v>0</v>
      </c>
    </row>
    <row r="148" spans="1:12">
      <c r="A148" s="9" t="str">
        <f t="shared" si="15"/>
        <v>item_ext</v>
      </c>
      <c r="B148" s="16">
        <f t="shared" ref="B148:B161" si="16">COUNTIF(E:E,E148)</f>
        <v>0</v>
      </c>
      <c r="C148" s="16">
        <v>0</v>
      </c>
      <c r="G148" s="7" t="str">
        <f>"FROM Kolding.["&amp;A148&amp;"]"</f>
        <v>FROM Kolding.[item_ext]</v>
      </c>
    </row>
    <row r="149" spans="1:12" ht="30" customHeight="1">
      <c r="A149" s="9" t="s">
        <v>1061</v>
      </c>
      <c r="B149" s="16">
        <f t="shared" si="16"/>
        <v>0</v>
      </c>
      <c r="C149" s="16">
        <v>0</v>
      </c>
      <c r="E149" s="10"/>
      <c r="F149" s="23"/>
      <c r="G149" s="14" t="str">
        <f>"CREATE VIEW Kolding_LTS.["&amp;A149&amp;"] as select "</f>
        <v xml:space="preserve">CREATE VIEW Kolding_LTS.[item] as select </v>
      </c>
      <c r="H149" s="22"/>
      <c r="I149" s="22"/>
      <c r="J149" s="22"/>
      <c r="K149" s="22"/>
      <c r="L149" s="22"/>
    </row>
    <row r="150" spans="1:12">
      <c r="A150" s="9" t="str">
        <f>A149</f>
        <v>item</v>
      </c>
      <c r="B150" s="16">
        <f t="shared" si="16"/>
        <v>10</v>
      </c>
      <c r="C150" s="16">
        <v>1</v>
      </c>
      <c r="D150" s="16">
        <v>0</v>
      </c>
      <c r="E150" s="18" t="s">
        <v>95</v>
      </c>
      <c r="F150" s="23" t="s">
        <v>906</v>
      </c>
      <c r="G150" s="7" t="str">
        <f t="shared" si="12"/>
        <v xml:space="preserve">    [Item Code] = CONVERT(int,Column1),</v>
      </c>
      <c r="H150" s="22">
        <v>743443804</v>
      </c>
      <c r="I150" s="22">
        <v>743449754</v>
      </c>
      <c r="J150" s="22">
        <v>743449764</v>
      </c>
      <c r="K150" s="22">
        <v>1102</v>
      </c>
      <c r="L150" s="22">
        <v>1103</v>
      </c>
    </row>
    <row r="151" spans="1:12">
      <c r="A151" s="9" t="str">
        <f t="shared" ref="A151:A157" si="17">A150</f>
        <v>item</v>
      </c>
      <c r="B151" s="16">
        <f t="shared" si="16"/>
        <v>8</v>
      </c>
      <c r="C151" s="16">
        <v>2</v>
      </c>
      <c r="D151" s="16">
        <v>1</v>
      </c>
      <c r="E151" s="18" t="s">
        <v>96</v>
      </c>
      <c r="F151" s="23" t="s">
        <v>931</v>
      </c>
      <c r="G151" s="7" t="str">
        <f t="shared" si="12"/>
        <v xml:space="preserve">    [Client Code] = CONVERT(varchar(10),Column2),</v>
      </c>
      <c r="H151" s="22" t="s">
        <v>938</v>
      </c>
      <c r="I151" s="22" t="s">
        <v>938</v>
      </c>
      <c r="J151" s="22" t="s">
        <v>938</v>
      </c>
      <c r="K151" s="22" t="s">
        <v>938</v>
      </c>
      <c r="L151" s="22" t="s">
        <v>938</v>
      </c>
    </row>
    <row r="152" spans="1:12">
      <c r="A152" s="9" t="str">
        <f t="shared" si="17"/>
        <v>item</v>
      </c>
      <c r="B152" s="16">
        <f t="shared" si="16"/>
        <v>7</v>
      </c>
      <c r="C152" s="16">
        <v>3</v>
      </c>
      <c r="D152" s="16">
        <v>2</v>
      </c>
      <c r="E152" s="18" t="s">
        <v>98</v>
      </c>
      <c r="F152" s="23" t="s">
        <v>932</v>
      </c>
      <c r="G152" s="7" t="str">
        <f t="shared" si="12"/>
        <v xml:space="preserve">    [Description] = CONVERT(varchar(40),Column3),</v>
      </c>
      <c r="H152" s="22" t="s">
        <v>939</v>
      </c>
      <c r="I152" s="22" t="s">
        <v>940</v>
      </c>
      <c r="J152" s="22" t="s">
        <v>941</v>
      </c>
      <c r="K152" s="22" t="s">
        <v>942</v>
      </c>
      <c r="L152" s="22" t="s">
        <v>943</v>
      </c>
    </row>
    <row r="153" spans="1:12">
      <c r="A153" s="9" t="str">
        <f t="shared" si="17"/>
        <v>item</v>
      </c>
      <c r="B153" s="16">
        <f t="shared" si="16"/>
        <v>1</v>
      </c>
      <c r="C153" s="16">
        <v>4</v>
      </c>
      <c r="D153" s="16">
        <v>3</v>
      </c>
      <c r="E153" s="18" t="s">
        <v>149</v>
      </c>
      <c r="F153" s="23" t="s">
        <v>932</v>
      </c>
      <c r="G153" s="7" t="str">
        <f t="shared" si="12"/>
        <v xml:space="preserve">    [Brand Code] = CONVERT(varchar(40),Column4),</v>
      </c>
      <c r="H153" s="22" t="s">
        <v>944</v>
      </c>
      <c r="I153" s="22" t="s">
        <v>944</v>
      </c>
      <c r="J153" s="22" t="s">
        <v>944</v>
      </c>
      <c r="K153" s="22" t="s">
        <v>944</v>
      </c>
      <c r="L153" s="22" t="s">
        <v>944</v>
      </c>
    </row>
    <row r="154" spans="1:12">
      <c r="A154" s="9" t="str">
        <f t="shared" si="17"/>
        <v>item</v>
      </c>
      <c r="B154" s="16">
        <f t="shared" si="16"/>
        <v>1</v>
      </c>
      <c r="C154" s="16">
        <v>5</v>
      </c>
      <c r="D154" s="16">
        <v>4</v>
      </c>
      <c r="E154" s="18" t="s">
        <v>150</v>
      </c>
      <c r="F154" s="23" t="s">
        <v>909</v>
      </c>
      <c r="G154" s="7" t="str">
        <f t="shared" si="12"/>
        <v xml:space="preserve">    [Shelf Life] = CONVERT(varchar(20),Column5),</v>
      </c>
      <c r="H154" s="22">
        <v>0</v>
      </c>
      <c r="I154" s="22">
        <v>0</v>
      </c>
      <c r="J154" s="22">
        <v>0</v>
      </c>
      <c r="K154" s="22">
        <v>0</v>
      </c>
      <c r="L154" s="22">
        <v>0</v>
      </c>
    </row>
    <row r="155" spans="1:12">
      <c r="A155" s="9" t="str">
        <f t="shared" si="17"/>
        <v>item</v>
      </c>
      <c r="B155" s="16">
        <f t="shared" si="16"/>
        <v>1</v>
      </c>
      <c r="C155" s="16">
        <v>6</v>
      </c>
      <c r="D155" s="16">
        <v>5</v>
      </c>
      <c r="E155" s="18" t="s">
        <v>151</v>
      </c>
      <c r="F155" s="23" t="s">
        <v>936</v>
      </c>
      <c r="G155" s="7" t="str">
        <f t="shared" si="12"/>
        <v xml:space="preserve">    [Alc by Vol] = CONVERT(decimal(18,3),Column6),</v>
      </c>
      <c r="H155" s="22" t="s">
        <v>945</v>
      </c>
      <c r="I155" s="22" t="s">
        <v>945</v>
      </c>
      <c r="J155" s="22" t="s">
        <v>945</v>
      </c>
      <c r="K155" s="22" t="s">
        <v>945</v>
      </c>
      <c r="L155" s="22" t="s">
        <v>945</v>
      </c>
    </row>
    <row r="156" spans="1:12">
      <c r="A156" s="9" t="str">
        <f t="shared" si="17"/>
        <v>item</v>
      </c>
      <c r="B156" s="16">
        <f t="shared" si="16"/>
        <v>1</v>
      </c>
      <c r="C156" s="16">
        <v>7</v>
      </c>
      <c r="D156" s="16">
        <v>6</v>
      </c>
      <c r="E156" s="18" t="s">
        <v>152</v>
      </c>
      <c r="F156" s="23" t="s">
        <v>905</v>
      </c>
      <c r="G156" s="7" t="str">
        <f>"    ["&amp;E156 &amp;"] = CONVERT("&amp;F156&amp;",Column" &amp;C156&amp;"),"</f>
        <v xml:space="preserve">    [Duty Code] = CONVERT(varchar(1),Column7),</v>
      </c>
      <c r="H156" s="22" t="s">
        <v>945</v>
      </c>
      <c r="I156" s="22" t="s">
        <v>945</v>
      </c>
      <c r="J156" s="22" t="s">
        <v>945</v>
      </c>
      <c r="K156" s="22" t="s">
        <v>945</v>
      </c>
      <c r="L156" s="22" t="s">
        <v>945</v>
      </c>
    </row>
    <row r="157" spans="1:12">
      <c r="A157" s="9" t="str">
        <f t="shared" si="17"/>
        <v>item</v>
      </c>
      <c r="B157" s="16">
        <f t="shared" si="16"/>
        <v>1</v>
      </c>
      <c r="C157" s="16">
        <v>8</v>
      </c>
      <c r="D157" s="16">
        <v>7</v>
      </c>
      <c r="E157" s="9" t="s">
        <v>153</v>
      </c>
      <c r="F157" s="23" t="s">
        <v>905</v>
      </c>
      <c r="G157" s="7" t="str">
        <f>"    ["&amp;E157 &amp;"] = CONVERT("&amp;F157&amp;",Column" &amp;C157&amp;"),"</f>
        <v xml:space="preserve">    [Segregation Code] = CONVERT(varchar(1),Column8),</v>
      </c>
      <c r="H157" s="22" t="s">
        <v>945</v>
      </c>
      <c r="I157" s="22" t="s">
        <v>945</v>
      </c>
      <c r="J157" s="22" t="s">
        <v>945</v>
      </c>
      <c r="K157" s="22" t="s">
        <v>945</v>
      </c>
      <c r="L157" s="22" t="s">
        <v>945</v>
      </c>
    </row>
    <row r="158" spans="1:12">
      <c r="A158" s="9" t="str">
        <f>A155</f>
        <v>item</v>
      </c>
      <c r="B158" s="16">
        <f t="shared" si="16"/>
        <v>0</v>
      </c>
      <c r="C158" s="16">
        <v>0</v>
      </c>
      <c r="F158" s="23"/>
      <c r="G158" s="7" t="str">
        <f>"FROM Kolding.["&amp;A158&amp;"]"</f>
        <v>FROM Kolding.[item]</v>
      </c>
    </row>
    <row r="159" spans="1:12" ht="30" customHeight="1">
      <c r="A159" s="9" t="s">
        <v>1062</v>
      </c>
      <c r="B159" s="16">
        <f t="shared" si="16"/>
        <v>0</v>
      </c>
      <c r="C159" s="16">
        <f>IF(A159=A147,C147+1,0)</f>
        <v>0</v>
      </c>
      <c r="E159" s="6"/>
      <c r="F159" s="23"/>
      <c r="G159" s="14" t="str">
        <f>"CREATE VIEW Kolding_LTS.["&amp;A159&amp;"] as select "</f>
        <v xml:space="preserve">CREATE VIEW Kolding_LTS.[lmg_sscc] as select </v>
      </c>
    </row>
    <row r="160" spans="1:12">
      <c r="A160" s="9" t="str">
        <f>A159</f>
        <v>lmg_sscc</v>
      </c>
      <c r="B160" s="16">
        <f t="shared" si="16"/>
        <v>5</v>
      </c>
      <c r="C160" s="16">
        <f>IF(A160=A159,C159+1,0)</f>
        <v>1</v>
      </c>
      <c r="E160" s="7" t="s">
        <v>9</v>
      </c>
      <c r="F160" s="23" t="s">
        <v>909</v>
      </c>
      <c r="G160" s="7" t="str">
        <f t="shared" si="12"/>
        <v xml:space="preserve">    [Container Id] = CONVERT(varchar(20),Column1),</v>
      </c>
      <c r="H160" s="22" t="s">
        <v>275</v>
      </c>
      <c r="I160" s="22" t="s">
        <v>276</v>
      </c>
      <c r="J160" s="22" t="s">
        <v>277</v>
      </c>
      <c r="K160" s="22" t="s">
        <v>278</v>
      </c>
      <c r="L160" s="22" t="s">
        <v>279</v>
      </c>
    </row>
    <row r="161" spans="1:12">
      <c r="A161" s="9" t="str">
        <f>A160</f>
        <v>lmg_sscc</v>
      </c>
      <c r="B161" s="16">
        <f t="shared" si="16"/>
        <v>1</v>
      </c>
      <c r="C161" s="16">
        <f>IF(A161=A160,C160+1,0)</f>
        <v>2</v>
      </c>
      <c r="E161" s="10" t="s">
        <v>155</v>
      </c>
      <c r="F161" s="23" t="s">
        <v>904</v>
      </c>
      <c r="G161" s="7" t="str">
        <f t="shared" si="12"/>
        <v xml:space="preserve">    [Sequence Number] = CONVERT(smallint,Column2),</v>
      </c>
      <c r="H161" s="22">
        <v>0</v>
      </c>
      <c r="I161" s="22">
        <v>0</v>
      </c>
      <c r="J161" s="22">
        <v>0</v>
      </c>
      <c r="K161" s="22">
        <v>0</v>
      </c>
      <c r="L161" s="22">
        <v>0</v>
      </c>
    </row>
    <row r="162" spans="1:12">
      <c r="A162" s="9" t="str">
        <f>A161</f>
        <v>lmg_sscc</v>
      </c>
      <c r="B162" s="16">
        <f>COUNTIF(E:E,E162)</f>
        <v>1</v>
      </c>
      <c r="C162" s="16">
        <f>IF(A162=A161,C161+1,0)</f>
        <v>3</v>
      </c>
      <c r="E162" s="10" t="s">
        <v>156</v>
      </c>
      <c r="F162" s="23" t="s">
        <v>909</v>
      </c>
      <c r="G162" s="7" t="str">
        <f t="shared" si="12"/>
        <v xml:space="preserve">    [SSCC] = CONVERT(varchar(20),Column3),</v>
      </c>
      <c r="H162" s="22" t="s">
        <v>280</v>
      </c>
      <c r="I162" s="22" t="s">
        <v>281</v>
      </c>
      <c r="J162" s="22" t="s">
        <v>282</v>
      </c>
      <c r="K162" s="22" t="s">
        <v>283</v>
      </c>
      <c r="L162" s="22" t="s">
        <v>77</v>
      </c>
    </row>
    <row r="163" spans="1:12">
      <c r="A163" s="9" t="str">
        <f>A162</f>
        <v>lmg_sscc</v>
      </c>
      <c r="B163" s="16">
        <f>COUNTIF(E:E,E163)</f>
        <v>3</v>
      </c>
      <c r="C163" s="16">
        <f>IF(A163=A162,C162+1,0)</f>
        <v>4</v>
      </c>
      <c r="E163" s="7" t="s">
        <v>34</v>
      </c>
      <c r="F163" s="23" t="s">
        <v>904</v>
      </c>
      <c r="G163" s="7" t="str">
        <f t="shared" si="12"/>
        <v xml:space="preserve">    [Package No] = CONVERT(smallint,Column4),</v>
      </c>
      <c r="H163" s="22">
        <v>13</v>
      </c>
      <c r="I163" s="22">
        <v>2</v>
      </c>
      <c r="J163" s="22">
        <v>6</v>
      </c>
      <c r="K163" s="22">
        <v>6</v>
      </c>
      <c r="L163" s="22">
        <v>1</v>
      </c>
    </row>
    <row r="164" spans="1:12">
      <c r="A164" s="9" t="str">
        <f>A163</f>
        <v>lmg_sscc</v>
      </c>
      <c r="C164" s="16">
        <v>0</v>
      </c>
      <c r="G164" s="7" t="str">
        <f>"FROM Kolding.["&amp;A164&amp;"]"</f>
        <v>FROM Kolding.[lmg_sscc]</v>
      </c>
    </row>
    <row r="165" spans="1:12" ht="30" customHeight="1">
      <c r="A165" s="5" t="s">
        <v>1063</v>
      </c>
      <c r="B165" s="16">
        <f t="shared" ref="B165:B184" si="18">COUNTIF(E:E,E165)</f>
        <v>0</v>
      </c>
      <c r="C165" s="16">
        <f>IF(A165=A163,C163+1,0)</f>
        <v>0</v>
      </c>
      <c r="E165" s="6"/>
      <c r="F165" s="23"/>
      <c r="G165" s="14" t="str">
        <f>"CREATE VIEW Kolding_LTS.["&amp;A165&amp;"] as select "</f>
        <v xml:space="preserve">CREATE VIEW Kolding_LTS.[location] as select </v>
      </c>
    </row>
    <row r="166" spans="1:12">
      <c r="A166" s="9" t="str">
        <f t="shared" ref="A166:A185" si="19">A165</f>
        <v>location</v>
      </c>
      <c r="B166" s="16">
        <f t="shared" si="18"/>
        <v>4</v>
      </c>
      <c r="C166" s="16">
        <f t="shared" ref="C166:C184" si="20">IF(A166=A165,C165+1,0)</f>
        <v>1</v>
      </c>
      <c r="D166" s="16">
        <v>0</v>
      </c>
      <c r="E166" s="7" t="s">
        <v>1</v>
      </c>
      <c r="F166" s="23" t="s">
        <v>928</v>
      </c>
      <c r="G166" s="7" t="str">
        <f t="shared" si="12"/>
        <v xml:space="preserve">    [Location] = CONVERT(varchar(12),Column1),</v>
      </c>
      <c r="H166" s="22" t="s">
        <v>284</v>
      </c>
      <c r="I166" s="22" t="s">
        <v>285</v>
      </c>
      <c r="J166" s="22" t="s">
        <v>286</v>
      </c>
      <c r="K166" s="22" t="s">
        <v>287</v>
      </c>
      <c r="L166" s="22" t="s">
        <v>288</v>
      </c>
    </row>
    <row r="167" spans="1:12">
      <c r="A167" s="9" t="str">
        <f t="shared" si="19"/>
        <v>location</v>
      </c>
      <c r="B167" s="16">
        <f t="shared" si="18"/>
        <v>1</v>
      </c>
      <c r="C167" s="16">
        <f t="shared" si="20"/>
        <v>2</v>
      </c>
      <c r="D167" s="16">
        <v>1</v>
      </c>
      <c r="E167" s="10" t="s">
        <v>158</v>
      </c>
      <c r="F167" s="23" t="s">
        <v>929</v>
      </c>
      <c r="G167" s="7" t="str">
        <f t="shared" si="12"/>
        <v xml:space="preserve">    [Error Time] = CONVERT(datetime,Column2),</v>
      </c>
      <c r="H167" s="22" t="s">
        <v>290</v>
      </c>
      <c r="I167" s="22" t="s">
        <v>290</v>
      </c>
      <c r="J167" s="22" t="s">
        <v>290</v>
      </c>
      <c r="K167" s="22" t="s">
        <v>290</v>
      </c>
      <c r="L167" s="22" t="s">
        <v>290</v>
      </c>
    </row>
    <row r="168" spans="1:12">
      <c r="A168" s="9" t="str">
        <f t="shared" si="19"/>
        <v>location</v>
      </c>
      <c r="B168" s="16">
        <f t="shared" si="18"/>
        <v>2</v>
      </c>
      <c r="C168" s="16">
        <f t="shared" si="20"/>
        <v>3</v>
      </c>
      <c r="D168" s="16">
        <v>2</v>
      </c>
      <c r="E168" s="7" t="s">
        <v>3</v>
      </c>
      <c r="F168" s="23" t="s">
        <v>929</v>
      </c>
      <c r="G168" s="7" t="str">
        <f t="shared" si="12"/>
        <v xml:space="preserve">    [Audit Time] = CONVERT(datetime,Column3),</v>
      </c>
      <c r="H168" s="22" t="s">
        <v>290</v>
      </c>
      <c r="I168" s="22" t="s">
        <v>291</v>
      </c>
      <c r="J168" s="22" t="s">
        <v>292</v>
      </c>
      <c r="K168" s="22" t="s">
        <v>293</v>
      </c>
      <c r="L168" s="22" t="s">
        <v>294</v>
      </c>
    </row>
    <row r="169" spans="1:12">
      <c r="A169" s="9" t="str">
        <f t="shared" si="19"/>
        <v>location</v>
      </c>
      <c r="B169" s="16">
        <f t="shared" si="18"/>
        <v>2</v>
      </c>
      <c r="C169" s="16">
        <f t="shared" si="20"/>
        <v>4</v>
      </c>
      <c r="D169" s="16">
        <v>3</v>
      </c>
      <c r="E169" s="7" t="s">
        <v>159</v>
      </c>
      <c r="F169" s="23" t="s">
        <v>936</v>
      </c>
      <c r="G169" s="7" t="str">
        <f t="shared" ref="G169:G237" si="21">"    ["&amp;E169 &amp;"] = CONVERT("&amp;F169&amp;",Column" &amp;C169&amp;"),"</f>
        <v xml:space="preserve">    [x] = CONVERT(decimal(18,3),Column4),</v>
      </c>
      <c r="H169" s="22">
        <v>0</v>
      </c>
      <c r="I169" s="22">
        <v>0</v>
      </c>
      <c r="J169" s="22">
        <v>0</v>
      </c>
      <c r="K169" s="22">
        <v>0</v>
      </c>
      <c r="L169" s="22">
        <v>0</v>
      </c>
    </row>
    <row r="170" spans="1:12">
      <c r="A170" s="9" t="str">
        <f t="shared" si="19"/>
        <v>location</v>
      </c>
      <c r="B170" s="16">
        <f t="shared" si="18"/>
        <v>2</v>
      </c>
      <c r="C170" s="16">
        <f t="shared" si="20"/>
        <v>5</v>
      </c>
      <c r="D170" s="16">
        <v>4</v>
      </c>
      <c r="E170" s="7" t="s">
        <v>160</v>
      </c>
      <c r="F170" s="23" t="s">
        <v>936</v>
      </c>
      <c r="G170" s="7" t="str">
        <f t="shared" si="21"/>
        <v xml:space="preserve">    [y] = CONVERT(decimal(18,3),Column5),</v>
      </c>
      <c r="H170" s="22">
        <v>0</v>
      </c>
      <c r="I170" s="22">
        <v>5</v>
      </c>
      <c r="J170" s="22">
        <v>5</v>
      </c>
      <c r="K170" s="22">
        <v>5</v>
      </c>
      <c r="L170" s="22">
        <v>5</v>
      </c>
    </row>
    <row r="171" spans="1:12">
      <c r="A171" s="9" t="str">
        <f t="shared" si="19"/>
        <v>location</v>
      </c>
      <c r="B171" s="16">
        <f t="shared" si="18"/>
        <v>2</v>
      </c>
      <c r="C171" s="16">
        <f t="shared" si="20"/>
        <v>6</v>
      </c>
      <c r="D171" s="16">
        <v>5</v>
      </c>
      <c r="E171" s="7" t="s">
        <v>161</v>
      </c>
      <c r="F171" s="23" t="s">
        <v>936</v>
      </c>
      <c r="G171" s="7" t="str">
        <f t="shared" si="21"/>
        <v xml:space="preserve">    [z] = CONVERT(decimal(18,3),Column6),</v>
      </c>
      <c r="H171" s="22">
        <v>0</v>
      </c>
      <c r="I171" s="22">
        <v>0</v>
      </c>
      <c r="J171" s="22">
        <v>0</v>
      </c>
      <c r="K171" s="22">
        <v>0</v>
      </c>
      <c r="L171" s="22">
        <v>5</v>
      </c>
    </row>
    <row r="172" spans="1:12">
      <c r="A172" s="9" t="str">
        <f t="shared" si="19"/>
        <v>location</v>
      </c>
      <c r="B172" s="16">
        <f t="shared" si="18"/>
        <v>3</v>
      </c>
      <c r="C172" s="16">
        <f t="shared" si="20"/>
        <v>7</v>
      </c>
      <c r="D172" s="16">
        <v>6</v>
      </c>
      <c r="E172" s="7" t="s">
        <v>6</v>
      </c>
      <c r="F172" s="23" t="s">
        <v>936</v>
      </c>
      <c r="G172" s="7" t="str">
        <f t="shared" si="21"/>
        <v xml:space="preserve">    [Height] = CONVERT(decimal(18,3),Column7),</v>
      </c>
      <c r="H172" s="22">
        <v>0</v>
      </c>
      <c r="I172" s="22">
        <v>0</v>
      </c>
      <c r="J172" s="22">
        <v>140</v>
      </c>
      <c r="K172" s="22">
        <v>140</v>
      </c>
      <c r="L172" s="22">
        <v>140</v>
      </c>
    </row>
    <row r="173" spans="1:12">
      <c r="A173" s="9" t="str">
        <f t="shared" si="19"/>
        <v>location</v>
      </c>
      <c r="B173" s="16">
        <f t="shared" si="18"/>
        <v>4</v>
      </c>
      <c r="C173" s="16">
        <f t="shared" si="20"/>
        <v>8</v>
      </c>
      <c r="D173" s="16">
        <v>7</v>
      </c>
      <c r="E173" s="7" t="s">
        <v>5</v>
      </c>
      <c r="F173" s="23" t="s">
        <v>936</v>
      </c>
      <c r="G173" s="7" t="str">
        <f t="shared" si="21"/>
        <v xml:space="preserve">    [Weight] = CONVERT(decimal(18,3),Column8),</v>
      </c>
      <c r="H173" s="22">
        <v>0</v>
      </c>
      <c r="I173" s="22">
        <v>0</v>
      </c>
      <c r="J173" s="22">
        <v>25000</v>
      </c>
      <c r="K173" s="22">
        <v>25000</v>
      </c>
      <c r="L173" s="22">
        <v>25000</v>
      </c>
    </row>
    <row r="174" spans="1:12">
      <c r="A174" s="9" t="str">
        <f t="shared" si="19"/>
        <v>location</v>
      </c>
      <c r="B174" s="16">
        <f t="shared" si="18"/>
        <v>1</v>
      </c>
      <c r="C174" s="16">
        <f t="shared" si="20"/>
        <v>9</v>
      </c>
      <c r="D174" s="16">
        <v>8</v>
      </c>
      <c r="E174" s="10" t="s">
        <v>162</v>
      </c>
      <c r="F174" s="23" t="s">
        <v>905</v>
      </c>
      <c r="G174" s="7" t="str">
        <f t="shared" si="21"/>
        <v xml:space="preserve">    [Error Status] = CONVERT(varchar(1),Column9),</v>
      </c>
      <c r="H174" s="22" t="s">
        <v>85</v>
      </c>
      <c r="I174" s="22" t="s">
        <v>53</v>
      </c>
      <c r="J174" s="22" t="s">
        <v>53</v>
      </c>
      <c r="K174" s="22" t="s">
        <v>53</v>
      </c>
      <c r="L174" s="22" t="s">
        <v>53</v>
      </c>
    </row>
    <row r="175" spans="1:12">
      <c r="A175" s="9" t="str">
        <f t="shared" si="19"/>
        <v>location</v>
      </c>
      <c r="B175" s="16">
        <f t="shared" si="18"/>
        <v>9</v>
      </c>
      <c r="C175" s="16">
        <f t="shared" si="20"/>
        <v>10</v>
      </c>
      <c r="D175" s="16">
        <v>9</v>
      </c>
      <c r="E175" s="7" t="s">
        <v>163</v>
      </c>
      <c r="F175" s="23" t="s">
        <v>946</v>
      </c>
      <c r="G175" s="7" t="str">
        <f t="shared" si="21"/>
        <v xml:space="preserve">    [Type] = CONVERT(varchar(2),Column10),</v>
      </c>
      <c r="H175" s="22" t="s">
        <v>296</v>
      </c>
      <c r="I175" s="22" t="s">
        <v>53</v>
      </c>
      <c r="J175" s="22" t="s">
        <v>92</v>
      </c>
      <c r="K175" s="22" t="s">
        <v>297</v>
      </c>
      <c r="L175" s="22" t="s">
        <v>92</v>
      </c>
    </row>
    <row r="176" spans="1:12">
      <c r="A176" s="9" t="str">
        <f t="shared" si="19"/>
        <v>location</v>
      </c>
      <c r="B176" s="16">
        <f t="shared" si="18"/>
        <v>5</v>
      </c>
      <c r="C176" s="16">
        <f t="shared" si="20"/>
        <v>11</v>
      </c>
      <c r="D176" s="16">
        <v>10</v>
      </c>
      <c r="E176" s="7" t="s">
        <v>164</v>
      </c>
      <c r="F176" s="23" t="s">
        <v>905</v>
      </c>
      <c r="G176" s="7" t="str">
        <f t="shared" si="21"/>
        <v xml:space="preserve">    [Status] = CONVERT(varchar(1),Column11),</v>
      </c>
      <c r="H176" s="22" t="s">
        <v>85</v>
      </c>
      <c r="I176" s="22" t="s">
        <v>241</v>
      </c>
      <c r="J176" s="22" t="s">
        <v>241</v>
      </c>
      <c r="K176" s="22" t="s">
        <v>241</v>
      </c>
      <c r="L176" s="22" t="s">
        <v>241</v>
      </c>
    </row>
    <row r="177" spans="1:12">
      <c r="A177" s="9" t="str">
        <f t="shared" si="19"/>
        <v>location</v>
      </c>
      <c r="B177" s="16">
        <f t="shared" si="18"/>
        <v>2</v>
      </c>
      <c r="C177" s="16">
        <f t="shared" si="20"/>
        <v>12</v>
      </c>
      <c r="D177" s="16">
        <v>11</v>
      </c>
      <c r="E177" s="7" t="s">
        <v>12</v>
      </c>
      <c r="F177" s="23" t="s">
        <v>905</v>
      </c>
      <c r="G177" s="7" t="str">
        <f t="shared" si="21"/>
        <v xml:space="preserve">    [Audit Status] = CONVERT(varchar(1),Column12),</v>
      </c>
      <c r="H177" s="22" t="s">
        <v>85</v>
      </c>
      <c r="I177" s="22" t="s">
        <v>53</v>
      </c>
      <c r="J177" s="22" t="s">
        <v>53</v>
      </c>
      <c r="K177" s="22" t="s">
        <v>53</v>
      </c>
      <c r="L177" s="22" t="s">
        <v>53</v>
      </c>
    </row>
    <row r="178" spans="1:12">
      <c r="A178" s="9" t="str">
        <f t="shared" si="19"/>
        <v>location</v>
      </c>
      <c r="B178" s="16">
        <f t="shared" si="18"/>
        <v>1</v>
      </c>
      <c r="C178" s="16">
        <f t="shared" si="20"/>
        <v>13</v>
      </c>
      <c r="D178" s="16">
        <v>12</v>
      </c>
      <c r="E178" s="10" t="s">
        <v>165</v>
      </c>
      <c r="F178" s="23" t="s">
        <v>905</v>
      </c>
      <c r="G178" s="7" t="str">
        <f t="shared" si="21"/>
        <v xml:space="preserve">    [Picking] = CONVERT(varchar(1),Column13),</v>
      </c>
      <c r="H178" s="22" t="s">
        <v>85</v>
      </c>
      <c r="I178" s="22" t="s">
        <v>53</v>
      </c>
      <c r="J178" s="22" t="s">
        <v>298</v>
      </c>
      <c r="K178" s="22" t="s">
        <v>298</v>
      </c>
      <c r="L178" s="22" t="s">
        <v>298</v>
      </c>
    </row>
    <row r="179" spans="1:12">
      <c r="A179" s="9" t="str">
        <f t="shared" si="19"/>
        <v>location</v>
      </c>
      <c r="B179" s="16">
        <f t="shared" si="18"/>
        <v>1</v>
      </c>
      <c r="C179" s="16">
        <f t="shared" si="20"/>
        <v>14</v>
      </c>
      <c r="D179" s="16">
        <v>13</v>
      </c>
      <c r="E179" s="10" t="s">
        <v>166</v>
      </c>
      <c r="F179" s="23" t="s">
        <v>908</v>
      </c>
      <c r="G179" s="7" t="str">
        <f t="shared" si="21"/>
        <v xml:space="preserve">    [Check Digits] = CONVERT(varchar(5),Column14),</v>
      </c>
      <c r="H179" s="22" t="s">
        <v>299</v>
      </c>
      <c r="I179" s="22" t="s">
        <v>53</v>
      </c>
      <c r="J179" s="22" t="s">
        <v>53</v>
      </c>
      <c r="K179" s="22" t="s">
        <v>53</v>
      </c>
      <c r="L179" s="22" t="s">
        <v>53</v>
      </c>
    </row>
    <row r="180" spans="1:12">
      <c r="A180" s="9" t="str">
        <f t="shared" si="19"/>
        <v>location</v>
      </c>
      <c r="B180" s="16">
        <f t="shared" si="18"/>
        <v>2</v>
      </c>
      <c r="C180" s="16">
        <f t="shared" si="20"/>
        <v>15</v>
      </c>
      <c r="D180" s="16">
        <v>14</v>
      </c>
      <c r="E180" s="7" t="s">
        <v>21</v>
      </c>
      <c r="F180" s="23" t="s">
        <v>905</v>
      </c>
      <c r="G180" s="7" t="str">
        <f t="shared" si="21"/>
        <v xml:space="preserve">    [Full Status] = CONVERT(varchar(1),Column15),</v>
      </c>
      <c r="H180" s="22" t="s">
        <v>85</v>
      </c>
      <c r="I180" s="22" t="s">
        <v>53</v>
      </c>
      <c r="J180" s="22" t="s">
        <v>53</v>
      </c>
      <c r="K180" s="22" t="s">
        <v>53</v>
      </c>
      <c r="L180" s="22" t="s">
        <v>53</v>
      </c>
    </row>
    <row r="181" spans="1:12">
      <c r="A181" s="9" t="str">
        <f t="shared" si="19"/>
        <v>location</v>
      </c>
      <c r="B181" s="16">
        <f t="shared" si="18"/>
        <v>3</v>
      </c>
      <c r="C181" s="16">
        <f t="shared" si="20"/>
        <v>16</v>
      </c>
      <c r="D181" s="16">
        <v>15</v>
      </c>
      <c r="E181" s="7" t="s">
        <v>26</v>
      </c>
      <c r="F181" s="23" t="s">
        <v>936</v>
      </c>
      <c r="G181" s="7" t="str">
        <f t="shared" si="21"/>
        <v xml:space="preserve">    [Width] = CONVERT(decimal(18,3),Column16),</v>
      </c>
      <c r="H181" s="22">
        <v>0</v>
      </c>
      <c r="I181" s="22">
        <v>0</v>
      </c>
      <c r="J181" s="22">
        <v>0</v>
      </c>
      <c r="K181" s="22">
        <v>0</v>
      </c>
      <c r="L181" s="22">
        <v>0</v>
      </c>
    </row>
    <row r="182" spans="1:12">
      <c r="A182" s="9" t="str">
        <f t="shared" si="19"/>
        <v>location</v>
      </c>
      <c r="B182" s="16">
        <f t="shared" si="18"/>
        <v>1</v>
      </c>
      <c r="C182" s="16">
        <f t="shared" si="20"/>
        <v>17</v>
      </c>
      <c r="D182" s="16">
        <v>16</v>
      </c>
      <c r="E182" s="10" t="s">
        <v>167</v>
      </c>
      <c r="F182" s="23" t="s">
        <v>936</v>
      </c>
      <c r="G182" s="7" t="str">
        <f t="shared" si="21"/>
        <v xml:space="preserve">    [Depth] = CONVERT(decimal(18,3),Column17),</v>
      </c>
      <c r="H182" s="22">
        <v>0</v>
      </c>
      <c r="I182" s="22">
        <v>0</v>
      </c>
      <c r="J182" s="22">
        <v>0</v>
      </c>
      <c r="K182" s="22">
        <v>0</v>
      </c>
      <c r="L182" s="22">
        <v>0</v>
      </c>
    </row>
    <row r="183" spans="1:12">
      <c r="A183" s="9" t="str">
        <f t="shared" si="19"/>
        <v>location</v>
      </c>
      <c r="B183" s="16">
        <f t="shared" si="18"/>
        <v>1</v>
      </c>
      <c r="C183" s="16">
        <f t="shared" si="20"/>
        <v>18</v>
      </c>
      <c r="D183" s="16">
        <v>17</v>
      </c>
      <c r="E183" s="10" t="s">
        <v>168</v>
      </c>
      <c r="F183" s="23" t="s">
        <v>905</v>
      </c>
      <c r="G183" s="7" t="str">
        <f t="shared" si="21"/>
        <v xml:space="preserve">    [Pi checked] = CONVERT(varchar(1),Column18),</v>
      </c>
      <c r="H183" s="22" t="s">
        <v>85</v>
      </c>
      <c r="I183" s="22" t="s">
        <v>85</v>
      </c>
      <c r="J183" s="22" t="s">
        <v>85</v>
      </c>
      <c r="K183" s="22" t="s">
        <v>85</v>
      </c>
      <c r="L183" s="22" t="s">
        <v>85</v>
      </c>
    </row>
    <row r="184" spans="1:12">
      <c r="A184" s="9" t="str">
        <f t="shared" si="19"/>
        <v>location</v>
      </c>
      <c r="B184" s="16">
        <f t="shared" si="18"/>
        <v>1</v>
      </c>
      <c r="C184" s="16">
        <f t="shared" si="20"/>
        <v>19</v>
      </c>
      <c r="D184" s="16">
        <v>18</v>
      </c>
      <c r="E184" s="10" t="s">
        <v>169</v>
      </c>
      <c r="F184" s="23" t="s">
        <v>905</v>
      </c>
      <c r="G184" s="7" t="str">
        <f t="shared" si="21"/>
        <v xml:space="preserve">    [Posn Checked] = CONVERT(varchar(1),Column19),</v>
      </c>
      <c r="H184" s="22" t="s">
        <v>85</v>
      </c>
      <c r="I184" s="22" t="s">
        <v>85</v>
      </c>
      <c r="J184" s="22" t="s">
        <v>85</v>
      </c>
      <c r="K184" s="22" t="s">
        <v>85</v>
      </c>
      <c r="L184" s="22" t="s">
        <v>85</v>
      </c>
    </row>
    <row r="185" spans="1:12">
      <c r="A185" s="9" t="str">
        <f t="shared" si="19"/>
        <v>location</v>
      </c>
      <c r="C185" s="16">
        <v>0</v>
      </c>
      <c r="G185" s="7" t="str">
        <f>"FROM Kolding.["&amp;A185&amp;"]"</f>
        <v>FROM Kolding.[location]</v>
      </c>
    </row>
    <row r="186" spans="1:12" ht="30" customHeight="1">
      <c r="A186" s="9" t="s">
        <v>1064</v>
      </c>
      <c r="B186" s="16">
        <f>COUNTIF(E:E,E186)</f>
        <v>0</v>
      </c>
      <c r="C186" s="16">
        <v>0</v>
      </c>
      <c r="E186" s="10"/>
      <c r="F186" s="23"/>
      <c r="G186" s="14" t="str">
        <f>"CREATE VIEW Kolding_LTS.["&amp;A186&amp;"] as select "</f>
        <v xml:space="preserve">CREATE VIEW Kolding_LTS.[mhe_error_desc] as select </v>
      </c>
      <c r="H186" s="22"/>
      <c r="I186" s="22"/>
      <c r="J186" s="22"/>
      <c r="K186" s="22"/>
      <c r="L186" s="22"/>
    </row>
    <row r="187" spans="1:12">
      <c r="A187" s="9" t="str">
        <f>A186</f>
        <v>mhe_error_desc</v>
      </c>
      <c r="B187" s="16">
        <f>COUNTIF(E:E,E187)</f>
        <v>6</v>
      </c>
      <c r="C187" s="16">
        <v>1</v>
      </c>
      <c r="D187" s="16">
        <v>0</v>
      </c>
      <c r="E187" s="18" t="s">
        <v>1101</v>
      </c>
      <c r="F187" s="23" t="s">
        <v>904</v>
      </c>
      <c r="G187" s="7" t="str">
        <f t="shared" si="21"/>
        <v xml:space="preserve">    [Parm 1] = CONVERT(smallint,Column1),</v>
      </c>
      <c r="H187" s="22">
        <v>1</v>
      </c>
      <c r="I187" s="22">
        <v>1</v>
      </c>
      <c r="J187" s="22">
        <v>1</v>
      </c>
      <c r="K187" s="22">
        <v>1</v>
      </c>
      <c r="L187" s="22">
        <v>1</v>
      </c>
    </row>
    <row r="188" spans="1:12">
      <c r="A188" s="9" t="str">
        <f>A187</f>
        <v>mhe_error_desc</v>
      </c>
      <c r="B188" s="16">
        <f>COUNTIF(E:E,E188)</f>
        <v>6</v>
      </c>
      <c r="C188" s="16">
        <v>2</v>
      </c>
      <c r="D188" s="16">
        <v>1</v>
      </c>
      <c r="E188" s="18" t="s">
        <v>1102</v>
      </c>
      <c r="F188" s="23" t="s">
        <v>904</v>
      </c>
      <c r="G188" s="7" t="str">
        <f t="shared" si="21"/>
        <v xml:space="preserve">    [Parm 2] = CONVERT(smallint,Column2),</v>
      </c>
      <c r="H188" s="22">
        <v>0</v>
      </c>
      <c r="I188" s="22">
        <v>1</v>
      </c>
      <c r="J188" s="22">
        <v>2</v>
      </c>
      <c r="K188" s="22">
        <v>3</v>
      </c>
      <c r="L188" s="22">
        <v>4</v>
      </c>
    </row>
    <row r="189" spans="1:12">
      <c r="A189" s="9" t="str">
        <f>A188</f>
        <v>mhe_error_desc</v>
      </c>
      <c r="B189" s="16">
        <f>COUNTIF(E:E,E189)</f>
        <v>5</v>
      </c>
      <c r="C189" s="16">
        <v>3</v>
      </c>
      <c r="D189" s="16">
        <v>2</v>
      </c>
      <c r="E189" s="18" t="s">
        <v>1103</v>
      </c>
      <c r="F189" s="23" t="s">
        <v>904</v>
      </c>
      <c r="G189" s="7" t="str">
        <f t="shared" si="21"/>
        <v xml:space="preserve">    [Parm 3] = CONVERT(smallint,Column3),</v>
      </c>
      <c r="H189" s="22">
        <v>0</v>
      </c>
      <c r="I189" s="22">
        <v>1</v>
      </c>
      <c r="J189" s="22">
        <v>1</v>
      </c>
      <c r="K189" s="22">
        <v>1</v>
      </c>
      <c r="L189" s="22">
        <v>1</v>
      </c>
    </row>
    <row r="190" spans="1:12">
      <c r="A190" s="9" t="str">
        <f>A189</f>
        <v>mhe_error_desc</v>
      </c>
      <c r="B190" s="16">
        <f>COUNTIF(E:E,E190)</f>
        <v>7</v>
      </c>
      <c r="C190" s="16">
        <v>4</v>
      </c>
      <c r="D190" s="16">
        <v>3</v>
      </c>
      <c r="E190" s="18" t="s">
        <v>98</v>
      </c>
      <c r="F190" s="23" t="s">
        <v>948</v>
      </c>
      <c r="G190" s="7" t="str">
        <f t="shared" si="21"/>
        <v xml:space="preserve">    [Description] = CONVERT(varchar(128),Column4),</v>
      </c>
      <c r="H190" s="22" t="s">
        <v>949</v>
      </c>
      <c r="I190" s="22" t="s">
        <v>950</v>
      </c>
      <c r="J190" s="22" t="s">
        <v>951</v>
      </c>
      <c r="K190" s="22" t="s">
        <v>952</v>
      </c>
      <c r="L190" s="22" t="s">
        <v>953</v>
      </c>
    </row>
    <row r="191" spans="1:12">
      <c r="A191" s="9" t="str">
        <f>A190</f>
        <v>mhe_error_desc</v>
      </c>
      <c r="C191" s="16">
        <v>0</v>
      </c>
      <c r="G191" s="7" t="str">
        <f>"FROM Kolding.["&amp;A191&amp;"]"</f>
        <v>FROM Kolding.[mhe_error_desc]</v>
      </c>
    </row>
    <row r="192" spans="1:12" ht="30" customHeight="1">
      <c r="A192" s="9" t="s">
        <v>1065</v>
      </c>
      <c r="B192" s="16">
        <f>COUNTIF(E:E,E192)</f>
        <v>0</v>
      </c>
      <c r="C192" s="16">
        <v>0</v>
      </c>
      <c r="E192" s="18"/>
      <c r="F192" s="23"/>
      <c r="G192" s="14" t="str">
        <f>"CREATE VIEW Kolding_LTS.["&amp;A192&amp;"] as select "</f>
        <v xml:space="preserve">CREATE VIEW Kolding_LTS.[mhe_errors] as select </v>
      </c>
      <c r="H192" s="22"/>
      <c r="I192" s="22"/>
      <c r="J192" s="22"/>
      <c r="K192" s="22"/>
      <c r="L192" s="22"/>
    </row>
    <row r="193" spans="1:12">
      <c r="A193" s="9" t="str">
        <f>A192</f>
        <v>mhe_errors</v>
      </c>
      <c r="B193" s="16">
        <f>COUNTIF(E:E,E193)</f>
        <v>1</v>
      </c>
      <c r="C193" s="16">
        <v>1</v>
      </c>
      <c r="D193" s="16">
        <v>0</v>
      </c>
      <c r="E193" s="18" t="s">
        <v>1110</v>
      </c>
      <c r="F193" s="23" t="s">
        <v>929</v>
      </c>
      <c r="G193" s="7" t="str">
        <f t="shared" si="21"/>
        <v xml:space="preserve">    [Date Time] = CONVERT(datetime,Column1),</v>
      </c>
      <c r="H193" s="22">
        <v>42625.828402777777</v>
      </c>
      <c r="I193" s="22">
        <v>42625.828368055554</v>
      </c>
      <c r="J193" s="22">
        <v>42625.828344907408</v>
      </c>
      <c r="K193" s="22">
        <v>42625.828321759262</v>
      </c>
      <c r="L193" s="22">
        <v>42625.828298611108</v>
      </c>
    </row>
    <row r="194" spans="1:12">
      <c r="A194" s="9" t="str">
        <f>A193</f>
        <v>mhe_errors</v>
      </c>
      <c r="B194" s="16">
        <f>COUNTIF(E:E,E194)</f>
        <v>9</v>
      </c>
      <c r="C194" s="16">
        <v>2</v>
      </c>
      <c r="D194" s="16">
        <v>1</v>
      </c>
      <c r="E194" s="18" t="s">
        <v>163</v>
      </c>
      <c r="F194" s="23" t="s">
        <v>904</v>
      </c>
      <c r="G194" s="7" t="str">
        <f t="shared" si="21"/>
        <v xml:space="preserve">    [Type] = CONVERT(smallint,Column2),</v>
      </c>
      <c r="H194" s="22">
        <v>1</v>
      </c>
      <c r="I194" s="22">
        <v>1</v>
      </c>
      <c r="J194" s="22">
        <v>1</v>
      </c>
      <c r="K194" s="22">
        <v>1</v>
      </c>
      <c r="L194" s="22">
        <v>1</v>
      </c>
    </row>
    <row r="195" spans="1:12">
      <c r="A195" s="9" t="str">
        <f>A194</f>
        <v>mhe_errors</v>
      </c>
      <c r="B195" s="16">
        <f>COUNTIF(E:E,E195)</f>
        <v>1</v>
      </c>
      <c r="C195" s="16">
        <v>3</v>
      </c>
      <c r="D195" s="16">
        <v>2</v>
      </c>
      <c r="E195" s="18" t="s">
        <v>1112</v>
      </c>
      <c r="F195" s="23" t="s">
        <v>904</v>
      </c>
      <c r="G195" s="7" t="str">
        <f t="shared" si="21"/>
        <v xml:space="preserve">    [Count] = CONVERT(smallint,Column3),</v>
      </c>
      <c r="H195" s="22">
        <v>1</v>
      </c>
      <c r="I195" s="22">
        <v>2</v>
      </c>
      <c r="J195" s="22">
        <v>3</v>
      </c>
      <c r="K195" s="22">
        <v>4</v>
      </c>
      <c r="L195" s="22">
        <v>5</v>
      </c>
    </row>
    <row r="196" spans="1:12">
      <c r="A196" s="9" t="str">
        <f>A195</f>
        <v>mhe_errors</v>
      </c>
      <c r="B196" s="16">
        <f>COUNTIF(E:E,E196)</f>
        <v>1</v>
      </c>
      <c r="C196" s="16">
        <v>4</v>
      </c>
      <c r="D196" s="16">
        <v>3</v>
      </c>
      <c r="E196" s="18" t="s">
        <v>1111</v>
      </c>
      <c r="F196" s="23" t="s">
        <v>904</v>
      </c>
      <c r="G196" s="7" t="str">
        <f t="shared" si="21"/>
        <v xml:space="preserve">    [Code] = CONVERT(smallint,Column4),</v>
      </c>
      <c r="H196" s="22">
        <v>104</v>
      </c>
      <c r="I196" s="22">
        <v>104</v>
      </c>
      <c r="J196" s="22">
        <v>104</v>
      </c>
      <c r="K196" s="22">
        <v>104</v>
      </c>
      <c r="L196" s="22">
        <v>104</v>
      </c>
    </row>
    <row r="197" spans="1:12">
      <c r="A197" s="9" t="str">
        <f>A196</f>
        <v>mhe_errors</v>
      </c>
      <c r="C197" s="16">
        <v>0</v>
      </c>
      <c r="G197" s="7" t="str">
        <f>"FROM Kolding.["&amp;A197&amp;"]"</f>
        <v>FROM Kolding.[mhe_errors]</v>
      </c>
    </row>
    <row r="198" spans="1:12" ht="30" customHeight="1">
      <c r="A198" s="9" t="s">
        <v>1066</v>
      </c>
      <c r="B198" s="16">
        <f t="shared" ref="B198:B222" si="22">COUNTIF(E:E,E198)</f>
        <v>0</v>
      </c>
      <c r="C198" s="16">
        <v>0</v>
      </c>
      <c r="G198" s="14" t="str">
        <f>"CREATE VIEW Kolding_LTS.["&amp;A198&amp;"] as select "</f>
        <v xml:space="preserve">CREATE VIEW Kolding_LTS.[mhe_info] as select </v>
      </c>
    </row>
    <row r="199" spans="1:12">
      <c r="A199" s="9" t="str">
        <f>A198</f>
        <v>mhe_info</v>
      </c>
      <c r="B199" s="16">
        <f t="shared" si="22"/>
        <v>2</v>
      </c>
      <c r="C199" s="16">
        <v>1</v>
      </c>
      <c r="D199" s="16">
        <v>0</v>
      </c>
      <c r="E199" s="9" t="s">
        <v>1114</v>
      </c>
      <c r="F199" s="17" t="s">
        <v>928</v>
      </c>
      <c r="G199" s="7" t="str">
        <f t="shared" si="21"/>
        <v xml:space="preserve">    [Unit] = CONVERT(varchar(12),Column1),</v>
      </c>
      <c r="H199" s="5" t="s">
        <v>954</v>
      </c>
      <c r="I199" s="5" t="s">
        <v>955</v>
      </c>
      <c r="J199" s="5" t="s">
        <v>956</v>
      </c>
      <c r="K199" s="5" t="s">
        <v>957</v>
      </c>
      <c r="L199" s="5" t="s">
        <v>958</v>
      </c>
    </row>
    <row r="200" spans="1:12">
      <c r="A200" s="9" t="str">
        <f t="shared" ref="A200:A223" si="23">A199</f>
        <v>mhe_info</v>
      </c>
      <c r="B200" s="16">
        <f t="shared" si="22"/>
        <v>6</v>
      </c>
      <c r="C200" s="16">
        <v>2</v>
      </c>
      <c r="D200" s="16">
        <v>1</v>
      </c>
      <c r="E200" s="9" t="s">
        <v>1101</v>
      </c>
      <c r="F200" s="17" t="s">
        <v>907</v>
      </c>
      <c r="G200" s="7" t="str">
        <f t="shared" si="21"/>
        <v xml:space="preserve">    [Parm 1] = CONVERT(Int,Column2),</v>
      </c>
      <c r="H200" s="5">
        <v>9817</v>
      </c>
      <c r="I200" s="5">
        <v>9819</v>
      </c>
      <c r="J200" s="5">
        <v>9823</v>
      </c>
      <c r="K200" s="5">
        <v>9826</v>
      </c>
      <c r="L200" s="5">
        <v>9829</v>
      </c>
    </row>
    <row r="201" spans="1:12">
      <c r="A201" s="9" t="str">
        <f t="shared" si="23"/>
        <v>mhe_info</v>
      </c>
      <c r="B201" s="16">
        <f t="shared" si="22"/>
        <v>6</v>
      </c>
      <c r="C201" s="16">
        <v>3</v>
      </c>
      <c r="D201" s="16">
        <v>2</v>
      </c>
      <c r="E201" s="9" t="s">
        <v>1102</v>
      </c>
      <c r="F201" s="17" t="s">
        <v>906</v>
      </c>
      <c r="G201" s="7" t="str">
        <f t="shared" si="21"/>
        <v xml:space="preserve">    [Parm 2] = CONVERT(int,Column3),</v>
      </c>
      <c r="H201" s="5">
        <v>9753</v>
      </c>
      <c r="I201" s="5">
        <v>9818</v>
      </c>
      <c r="J201" s="5">
        <v>9822</v>
      </c>
      <c r="K201" s="5">
        <v>9824</v>
      </c>
      <c r="L201" s="5">
        <v>9828</v>
      </c>
    </row>
    <row r="202" spans="1:12">
      <c r="A202" s="9" t="str">
        <f t="shared" si="23"/>
        <v>mhe_info</v>
      </c>
      <c r="B202" s="16">
        <f t="shared" si="22"/>
        <v>5</v>
      </c>
      <c r="C202" s="16">
        <v>4</v>
      </c>
      <c r="D202" s="16">
        <v>3</v>
      </c>
      <c r="E202" s="9" t="s">
        <v>1103</v>
      </c>
      <c r="F202" s="17" t="s">
        <v>904</v>
      </c>
      <c r="G202" s="7" t="str">
        <f t="shared" si="21"/>
        <v xml:space="preserve">    [Parm 3] = CONVERT(smallint,Column4),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</row>
    <row r="203" spans="1:12">
      <c r="A203" s="9" t="str">
        <f t="shared" si="23"/>
        <v>mhe_info</v>
      </c>
      <c r="B203" s="16">
        <f t="shared" si="22"/>
        <v>4</v>
      </c>
      <c r="C203" s="16">
        <v>5</v>
      </c>
      <c r="D203" s="16">
        <v>4</v>
      </c>
      <c r="E203" s="9" t="s">
        <v>1104</v>
      </c>
      <c r="F203" s="17" t="s">
        <v>904</v>
      </c>
      <c r="G203" s="7" t="str">
        <f t="shared" si="21"/>
        <v xml:space="preserve">    [Parm 4] = CONVERT(smallint,Column5),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</row>
    <row r="204" spans="1:12">
      <c r="A204" s="9" t="str">
        <f t="shared" si="23"/>
        <v>mhe_info</v>
      </c>
      <c r="B204" s="16">
        <f t="shared" si="22"/>
        <v>3</v>
      </c>
      <c r="C204" s="16">
        <v>6</v>
      </c>
      <c r="D204" s="16">
        <v>5</v>
      </c>
      <c r="E204" s="9" t="s">
        <v>1105</v>
      </c>
      <c r="F204" s="17" t="s">
        <v>904</v>
      </c>
      <c r="G204" s="7" t="str">
        <f t="shared" si="21"/>
        <v xml:space="preserve">    [Parm 5] = CONVERT(smallint,Column6),</v>
      </c>
      <c r="H204" s="5">
        <v>3</v>
      </c>
      <c r="I204" s="5">
        <v>3</v>
      </c>
      <c r="J204" s="5">
        <v>3</v>
      </c>
      <c r="K204" s="5">
        <v>3</v>
      </c>
      <c r="L204" s="5">
        <v>3</v>
      </c>
    </row>
    <row r="205" spans="1:12">
      <c r="A205" s="9" t="str">
        <f t="shared" si="23"/>
        <v>mhe_info</v>
      </c>
      <c r="B205" s="16">
        <f t="shared" si="22"/>
        <v>3</v>
      </c>
      <c r="C205" s="16">
        <v>7</v>
      </c>
      <c r="D205" s="16">
        <v>6</v>
      </c>
      <c r="E205" s="9" t="s">
        <v>1106</v>
      </c>
      <c r="F205" s="17" t="s">
        <v>904</v>
      </c>
      <c r="G205" s="7" t="str">
        <f t="shared" si="21"/>
        <v xml:space="preserve">    [Parm 6] = CONVERT(smallint,Column7),</v>
      </c>
      <c r="H205" s="5">
        <v>1</v>
      </c>
      <c r="I205" s="5">
        <v>2</v>
      </c>
      <c r="J205" s="5">
        <v>3</v>
      </c>
      <c r="K205" s="5">
        <v>4</v>
      </c>
      <c r="L205" s="5">
        <v>5</v>
      </c>
    </row>
    <row r="206" spans="1:12">
      <c r="A206" s="9" t="str">
        <f t="shared" si="23"/>
        <v>mhe_info</v>
      </c>
      <c r="B206" s="16">
        <f t="shared" si="22"/>
        <v>3</v>
      </c>
      <c r="C206" s="16">
        <v>8</v>
      </c>
      <c r="D206" s="16">
        <v>7</v>
      </c>
      <c r="E206" s="9" t="s">
        <v>1107</v>
      </c>
      <c r="F206" s="17" t="s">
        <v>904</v>
      </c>
      <c r="G206" s="7" t="str">
        <f t="shared" si="21"/>
        <v xml:space="preserve">    [Parm 7] = CONVERT(smallint,Column8),</v>
      </c>
      <c r="H206" s="5">
        <v>1</v>
      </c>
      <c r="I206" s="5">
        <v>2</v>
      </c>
      <c r="J206" s="5">
        <v>3</v>
      </c>
      <c r="K206" s="5">
        <v>4</v>
      </c>
      <c r="L206" s="5">
        <v>5</v>
      </c>
    </row>
    <row r="207" spans="1:12">
      <c r="A207" s="9" t="str">
        <f t="shared" si="23"/>
        <v>mhe_info</v>
      </c>
      <c r="B207" s="16">
        <f t="shared" si="22"/>
        <v>3</v>
      </c>
      <c r="C207" s="16">
        <v>9</v>
      </c>
      <c r="D207" s="16">
        <v>8</v>
      </c>
      <c r="E207" s="9" t="s">
        <v>1108</v>
      </c>
      <c r="F207" s="17" t="s">
        <v>904</v>
      </c>
      <c r="G207" s="7" t="str">
        <f t="shared" si="21"/>
        <v xml:space="preserve">    [Parm 8] = CONVERT(smallint,Column9),</v>
      </c>
      <c r="H207" s="5">
        <v>1</v>
      </c>
      <c r="I207" s="5">
        <v>1</v>
      </c>
      <c r="J207" s="5">
        <v>1</v>
      </c>
      <c r="K207" s="5">
        <v>1</v>
      </c>
      <c r="L207" s="5">
        <v>1</v>
      </c>
    </row>
    <row r="208" spans="1:12">
      <c r="A208" s="9" t="str">
        <f t="shared" si="23"/>
        <v>mhe_info</v>
      </c>
      <c r="B208" s="16">
        <f t="shared" si="22"/>
        <v>2</v>
      </c>
      <c r="C208" s="16">
        <v>10</v>
      </c>
      <c r="D208" s="16">
        <v>9</v>
      </c>
      <c r="E208" s="9" t="s">
        <v>1109</v>
      </c>
      <c r="F208" s="17" t="s">
        <v>904</v>
      </c>
      <c r="G208" s="7" t="str">
        <f t="shared" si="21"/>
        <v xml:space="preserve">    [Parm 9] = CONVERT(smallint,Column10),</v>
      </c>
      <c r="H208" s="5">
        <v>1</v>
      </c>
      <c r="I208" s="5">
        <v>1</v>
      </c>
      <c r="J208" s="5">
        <v>1</v>
      </c>
      <c r="K208" s="5">
        <v>1</v>
      </c>
      <c r="L208" s="5">
        <v>1</v>
      </c>
    </row>
    <row r="209" spans="1:12">
      <c r="A209" s="9" t="str">
        <f t="shared" si="23"/>
        <v>mhe_info</v>
      </c>
      <c r="B209" s="16">
        <f t="shared" si="22"/>
        <v>1</v>
      </c>
      <c r="C209" s="16">
        <v>11</v>
      </c>
      <c r="D209" s="16">
        <v>10</v>
      </c>
      <c r="E209" s="9" t="s">
        <v>1116</v>
      </c>
      <c r="F209" s="17" t="s">
        <v>928</v>
      </c>
      <c r="G209" s="7" t="str">
        <f t="shared" si="21"/>
        <v xml:space="preserve">    [Area 1] = CONVERT(varchar(12),Column11),</v>
      </c>
      <c r="H209" s="5" t="s">
        <v>959</v>
      </c>
      <c r="I209" s="5" t="s">
        <v>960</v>
      </c>
      <c r="J209" s="5" t="s">
        <v>961</v>
      </c>
      <c r="K209" s="5" t="s">
        <v>962</v>
      </c>
      <c r="L209" s="5" t="s">
        <v>963</v>
      </c>
    </row>
    <row r="210" spans="1:12">
      <c r="A210" s="9" t="str">
        <f t="shared" si="23"/>
        <v>mhe_info</v>
      </c>
      <c r="B210" s="16">
        <f t="shared" si="22"/>
        <v>1</v>
      </c>
      <c r="C210" s="16">
        <v>12</v>
      </c>
      <c r="D210" s="16">
        <v>11</v>
      </c>
      <c r="E210" s="9" t="s">
        <v>1117</v>
      </c>
      <c r="F210" s="17" t="s">
        <v>928</v>
      </c>
      <c r="G210" s="7" t="str">
        <f t="shared" si="21"/>
        <v xml:space="preserve">    [Area 2] = CONVERT(varchar(12),Column12),</v>
      </c>
      <c r="H210" s="5" t="s">
        <v>964</v>
      </c>
      <c r="I210" s="5" t="s">
        <v>964</v>
      </c>
      <c r="J210" s="5" t="s">
        <v>964</v>
      </c>
      <c r="K210" s="5" t="s">
        <v>964</v>
      </c>
      <c r="L210" s="5" t="s">
        <v>964</v>
      </c>
    </row>
    <row r="211" spans="1:12">
      <c r="A211" s="9" t="str">
        <f t="shared" si="23"/>
        <v>mhe_info</v>
      </c>
      <c r="B211" s="16">
        <f t="shared" si="22"/>
        <v>1</v>
      </c>
      <c r="C211" s="16">
        <v>13</v>
      </c>
      <c r="D211" s="16">
        <v>12</v>
      </c>
      <c r="E211" s="9" t="s">
        <v>1118</v>
      </c>
      <c r="F211" s="17" t="s">
        <v>909</v>
      </c>
      <c r="G211" s="7" t="str">
        <f t="shared" si="21"/>
        <v xml:space="preserve">    [Area 3] = CONVERT(varchar(20),Column13),</v>
      </c>
      <c r="H211" s="5" t="s">
        <v>438</v>
      </c>
      <c r="I211" s="5" t="s">
        <v>438</v>
      </c>
      <c r="J211" s="5" t="s">
        <v>438</v>
      </c>
      <c r="K211" s="5" t="s">
        <v>438</v>
      </c>
      <c r="L211" s="5" t="s">
        <v>438</v>
      </c>
    </row>
    <row r="212" spans="1:12">
      <c r="A212" s="9" t="str">
        <f t="shared" si="23"/>
        <v>mhe_info</v>
      </c>
      <c r="B212" s="16">
        <f t="shared" si="22"/>
        <v>1</v>
      </c>
      <c r="C212" s="16">
        <v>14</v>
      </c>
      <c r="D212" s="16">
        <v>13</v>
      </c>
      <c r="E212" s="9" t="s">
        <v>1119</v>
      </c>
      <c r="F212" s="17" t="s">
        <v>908</v>
      </c>
      <c r="G212" s="7" t="str">
        <f t="shared" si="21"/>
        <v xml:space="preserve">    [Area 4] = CONVERT(varchar(5),Column14),</v>
      </c>
      <c r="H212" s="5" t="s">
        <v>965</v>
      </c>
      <c r="I212" s="5" t="s">
        <v>965</v>
      </c>
      <c r="J212" s="5" t="s">
        <v>965</v>
      </c>
      <c r="K212" s="5" t="s">
        <v>965</v>
      </c>
      <c r="L212" s="5" t="s">
        <v>965</v>
      </c>
    </row>
    <row r="213" spans="1:12">
      <c r="A213" s="9" t="str">
        <f t="shared" si="23"/>
        <v>mhe_info</v>
      </c>
      <c r="B213" s="16">
        <f t="shared" si="22"/>
        <v>2</v>
      </c>
      <c r="C213" s="16">
        <v>15</v>
      </c>
      <c r="D213" s="16">
        <v>14</v>
      </c>
      <c r="E213" s="9" t="s">
        <v>1120</v>
      </c>
      <c r="F213" s="17" t="s">
        <v>908</v>
      </c>
      <c r="G213" s="7" t="str">
        <f t="shared" si="21"/>
        <v xml:space="preserve">    [Empty] = CONVERT(varchar(5),Column15),</v>
      </c>
      <c r="H213" s="5" t="s">
        <v>966</v>
      </c>
      <c r="I213" s="5" t="s">
        <v>966</v>
      </c>
      <c r="J213" s="5" t="s">
        <v>966</v>
      </c>
      <c r="K213" s="5" t="s">
        <v>966</v>
      </c>
      <c r="L213" s="5" t="s">
        <v>966</v>
      </c>
    </row>
    <row r="214" spans="1:12">
      <c r="A214" s="9" t="str">
        <f t="shared" si="23"/>
        <v>mhe_info</v>
      </c>
      <c r="B214" s="16">
        <f t="shared" si="22"/>
        <v>1</v>
      </c>
      <c r="C214" s="16">
        <v>16</v>
      </c>
      <c r="D214" s="16">
        <v>15</v>
      </c>
      <c r="E214" s="9" t="s">
        <v>1121</v>
      </c>
      <c r="F214" s="17" t="s">
        <v>909</v>
      </c>
      <c r="G214" s="7" t="str">
        <f t="shared" si="21"/>
        <v xml:space="preserve">    [Type 1] = CONVERT(varchar(20),Column16),</v>
      </c>
      <c r="H214" s="5" t="s">
        <v>967</v>
      </c>
      <c r="I214" s="5" t="s">
        <v>967</v>
      </c>
      <c r="J214" s="5" t="s">
        <v>967</v>
      </c>
      <c r="K214" s="5" t="s">
        <v>967</v>
      </c>
      <c r="L214" s="5" t="s">
        <v>967</v>
      </c>
    </row>
    <row r="215" spans="1:12">
      <c r="A215" s="9" t="str">
        <f t="shared" si="23"/>
        <v>mhe_info</v>
      </c>
      <c r="B215" s="16">
        <f t="shared" si="22"/>
        <v>1</v>
      </c>
      <c r="C215" s="16">
        <v>17</v>
      </c>
      <c r="D215" s="16">
        <v>16</v>
      </c>
      <c r="E215" s="9" t="s">
        <v>1122</v>
      </c>
      <c r="F215" s="17" t="s">
        <v>908</v>
      </c>
      <c r="G215" s="7" t="str">
        <f t="shared" si="21"/>
        <v xml:space="preserve">    [Type 2] = CONVERT(varchar(5),Column17),</v>
      </c>
      <c r="H215" s="5">
        <v>8011</v>
      </c>
      <c r="I215" s="5">
        <v>8021</v>
      </c>
      <c r="J215" s="5">
        <v>8031</v>
      </c>
      <c r="K215" s="5">
        <v>8041</v>
      </c>
      <c r="L215" s="5">
        <v>8051</v>
      </c>
    </row>
    <row r="216" spans="1:12">
      <c r="A216" s="9" t="str">
        <f t="shared" si="23"/>
        <v>mhe_info</v>
      </c>
      <c r="B216" s="16">
        <f t="shared" si="22"/>
        <v>1</v>
      </c>
      <c r="C216" s="16">
        <v>18</v>
      </c>
      <c r="D216" s="16">
        <v>17</v>
      </c>
      <c r="E216" s="9" t="s">
        <v>1123</v>
      </c>
      <c r="F216" s="17" t="s">
        <v>908</v>
      </c>
      <c r="G216" s="7" t="str">
        <f t="shared" si="21"/>
        <v xml:space="preserve">    [Type 3] = CONVERT(varchar(5),Column18),</v>
      </c>
      <c r="H216" s="5">
        <v>8011</v>
      </c>
      <c r="I216" s="5">
        <v>8021</v>
      </c>
      <c r="J216" s="5">
        <v>8031</v>
      </c>
      <c r="K216" s="5">
        <v>8041</v>
      </c>
      <c r="L216" s="5">
        <v>8051</v>
      </c>
    </row>
    <row r="217" spans="1:12">
      <c r="A217" s="9" t="str">
        <f t="shared" si="23"/>
        <v>mhe_info</v>
      </c>
      <c r="B217" s="16">
        <f t="shared" si="22"/>
        <v>1</v>
      </c>
      <c r="C217" s="16">
        <v>19</v>
      </c>
      <c r="D217" s="16">
        <v>18</v>
      </c>
      <c r="E217" s="9" t="s">
        <v>1113</v>
      </c>
      <c r="F217" s="17" t="s">
        <v>968</v>
      </c>
      <c r="G217" s="7" t="str">
        <f t="shared" si="21"/>
        <v xml:space="preserve">    [Name] = CONVERT(varchar(32),Column19),</v>
      </c>
      <c r="H217" s="5" t="s">
        <v>969</v>
      </c>
      <c r="I217" s="5" t="s">
        <v>969</v>
      </c>
      <c r="J217" s="5" t="s">
        <v>969</v>
      </c>
      <c r="K217" s="5" t="s">
        <v>969</v>
      </c>
      <c r="L217" s="5" t="s">
        <v>969</v>
      </c>
    </row>
    <row r="218" spans="1:12">
      <c r="A218" s="9" t="str">
        <f t="shared" si="23"/>
        <v>mhe_info</v>
      </c>
      <c r="B218" s="16">
        <f t="shared" si="22"/>
        <v>1</v>
      </c>
      <c r="C218" s="16">
        <v>20</v>
      </c>
      <c r="D218" s="16">
        <v>19</v>
      </c>
      <c r="E218" s="9" t="s">
        <v>1124</v>
      </c>
      <c r="F218" s="17" t="s">
        <v>908</v>
      </c>
      <c r="G218" s="7" t="str">
        <f t="shared" si="21"/>
        <v xml:space="preserve">    [Dual Only] = CONVERT(varchar(5),Column20),</v>
      </c>
      <c r="H218" s="5" t="s">
        <v>970</v>
      </c>
      <c r="I218" s="5" t="s">
        <v>970</v>
      </c>
      <c r="J218" s="5" t="s">
        <v>970</v>
      </c>
      <c r="K218" s="5" t="s">
        <v>970</v>
      </c>
      <c r="L218" s="5" t="s">
        <v>970</v>
      </c>
    </row>
    <row r="219" spans="1:12">
      <c r="A219" s="9" t="str">
        <f t="shared" si="23"/>
        <v>mhe_info</v>
      </c>
      <c r="B219" s="16">
        <f t="shared" si="22"/>
        <v>4</v>
      </c>
      <c r="C219" s="16">
        <v>21</v>
      </c>
      <c r="D219" s="16">
        <v>20</v>
      </c>
      <c r="E219" s="9" t="s">
        <v>1095</v>
      </c>
      <c r="F219" s="17" t="s">
        <v>905</v>
      </c>
      <c r="G219" s="7" t="str">
        <f t="shared" si="21"/>
        <v xml:space="preserve">    [Null] = CONVERT(varchar(1),Column21),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</row>
    <row r="220" spans="1:12">
      <c r="A220" s="9" t="str">
        <f t="shared" si="23"/>
        <v>mhe_info</v>
      </c>
      <c r="B220" s="16">
        <f t="shared" si="22"/>
        <v>3</v>
      </c>
      <c r="C220" s="16">
        <v>22</v>
      </c>
      <c r="D220" s="16">
        <v>21</v>
      </c>
      <c r="E220" s="9" t="s">
        <v>1096</v>
      </c>
      <c r="F220" s="17" t="s">
        <v>968</v>
      </c>
      <c r="G220" s="7" t="str">
        <f t="shared" si="21"/>
        <v xml:space="preserve">    [Handling] = CONVERT(varchar(32),Column22),</v>
      </c>
      <c r="H220" s="5" t="s">
        <v>971</v>
      </c>
      <c r="I220" s="5" t="s">
        <v>971</v>
      </c>
      <c r="J220" s="5" t="s">
        <v>971</v>
      </c>
      <c r="K220" s="5" t="s">
        <v>971</v>
      </c>
      <c r="L220" s="5" t="s">
        <v>971</v>
      </c>
    </row>
    <row r="221" spans="1:12">
      <c r="A221" s="9" t="str">
        <f t="shared" si="23"/>
        <v>mhe_info</v>
      </c>
      <c r="B221" s="16">
        <f t="shared" si="22"/>
        <v>1</v>
      </c>
      <c r="C221" s="16">
        <v>23</v>
      </c>
      <c r="D221" s="16">
        <v>22</v>
      </c>
      <c r="E221" s="40" t="s">
        <v>1125</v>
      </c>
      <c r="F221" s="17" t="s">
        <v>904</v>
      </c>
      <c r="G221" s="7" t="str">
        <f t="shared" si="21"/>
        <v xml:space="preserve">    [Dec 1] = CONVERT(smallint,Column23),</v>
      </c>
      <c r="H221" s="5">
        <v>1</v>
      </c>
      <c r="I221" s="5">
        <v>1</v>
      </c>
      <c r="J221" s="5">
        <v>1</v>
      </c>
      <c r="K221" s="5">
        <v>1</v>
      </c>
      <c r="L221" s="5">
        <v>1</v>
      </c>
    </row>
    <row r="222" spans="1:12">
      <c r="A222" s="9" t="str">
        <f t="shared" si="23"/>
        <v>mhe_info</v>
      </c>
      <c r="B222" s="16">
        <f t="shared" si="22"/>
        <v>1</v>
      </c>
      <c r="C222" s="16">
        <v>24</v>
      </c>
      <c r="D222" s="16">
        <v>23</v>
      </c>
      <c r="E222" s="40" t="s">
        <v>1126</v>
      </c>
      <c r="F222" s="17" t="s">
        <v>904</v>
      </c>
      <c r="G222" s="7" t="str">
        <f t="shared" si="21"/>
        <v xml:space="preserve">    [Dec 2] = CONVERT(smallint,Column24),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</row>
    <row r="223" spans="1:12">
      <c r="A223" s="9" t="str">
        <f t="shared" si="23"/>
        <v>mhe_info</v>
      </c>
      <c r="C223" s="16">
        <v>0</v>
      </c>
      <c r="G223" s="7" t="str">
        <f>"FROM Kolding.["&amp;A223&amp;"]"</f>
        <v>FROM Kolding.[mhe_info]</v>
      </c>
    </row>
    <row r="224" spans="1:12" ht="30" customHeight="1">
      <c r="A224" s="9" t="s">
        <v>1067</v>
      </c>
      <c r="B224" s="16">
        <f>COUNTIF(E:E,E224)</f>
        <v>0</v>
      </c>
      <c r="C224" s="16">
        <v>0</v>
      </c>
      <c r="G224" s="14" t="str">
        <f>"CREATE VIEW Kolding_LTS.["&amp;A224&amp;"] as select "</f>
        <v xml:space="preserve">CREATE VIEW Kolding_LTS.[move_job_desc] as select </v>
      </c>
    </row>
    <row r="225" spans="1:12">
      <c r="A225" s="9" t="str">
        <f>A224</f>
        <v>move_job_desc</v>
      </c>
      <c r="B225" s="16">
        <f>COUNTIF(E:E,E225)</f>
        <v>1</v>
      </c>
      <c r="C225" s="16">
        <v>1</v>
      </c>
      <c r="D225" s="16">
        <v>0</v>
      </c>
      <c r="E225" s="9" t="s">
        <v>1127</v>
      </c>
      <c r="F225" s="17" t="s">
        <v>909</v>
      </c>
      <c r="G225" s="7" t="str">
        <f t="shared" si="21"/>
        <v xml:space="preserve">    [Move Job] = CONVERT(varchar(20),Column1),</v>
      </c>
      <c r="H225" s="5">
        <v>8312</v>
      </c>
      <c r="I225" s="5">
        <v>30784</v>
      </c>
      <c r="J225" s="5">
        <v>51969</v>
      </c>
      <c r="K225" s="5">
        <v>67066</v>
      </c>
      <c r="L225" s="5">
        <v>1014207</v>
      </c>
    </row>
    <row r="226" spans="1:12">
      <c r="A226" s="9" t="str">
        <f>A225</f>
        <v>move_job_desc</v>
      </c>
      <c r="B226" s="16">
        <f>COUNTIF(E:E,E226)</f>
        <v>1</v>
      </c>
      <c r="C226" s="16">
        <v>2</v>
      </c>
      <c r="D226" s="16">
        <v>1</v>
      </c>
      <c r="E226" s="9" t="s">
        <v>1128</v>
      </c>
      <c r="F226" s="17" t="s">
        <v>904</v>
      </c>
      <c r="G226" s="7" t="str">
        <f t="shared" si="21"/>
        <v xml:space="preserve">    [Job No] = CONVERT(smallint,Column2),</v>
      </c>
      <c r="H226" s="5">
        <v>1</v>
      </c>
      <c r="I226" s="5">
        <v>1</v>
      </c>
      <c r="J226" s="5">
        <v>1</v>
      </c>
      <c r="K226" s="5">
        <v>1</v>
      </c>
      <c r="L226" s="5">
        <v>1</v>
      </c>
    </row>
    <row r="227" spans="1:12">
      <c r="A227" s="9" t="str">
        <f>A226</f>
        <v>move_job_desc</v>
      </c>
      <c r="B227" s="16">
        <f>COUNTIF(E:E,E227)</f>
        <v>7</v>
      </c>
      <c r="C227" s="16">
        <v>3</v>
      </c>
      <c r="D227" s="16">
        <v>2</v>
      </c>
      <c r="E227" s="9" t="s">
        <v>98</v>
      </c>
      <c r="F227" s="17" t="s">
        <v>948</v>
      </c>
      <c r="G227" s="7" t="str">
        <f t="shared" si="21"/>
        <v xml:space="preserve">    [Description] = CONVERT(varchar(128),Column3),</v>
      </c>
      <c r="H227" s="5" t="s">
        <v>949</v>
      </c>
      <c r="I227" s="5" t="s">
        <v>949</v>
      </c>
      <c r="J227" s="5" t="s">
        <v>949</v>
      </c>
      <c r="K227" s="5" t="s">
        <v>949</v>
      </c>
      <c r="L227" s="5" t="s">
        <v>949</v>
      </c>
    </row>
    <row r="228" spans="1:12">
      <c r="A228" s="9" t="str">
        <f>A227</f>
        <v>move_job_desc</v>
      </c>
      <c r="C228" s="16">
        <v>0</v>
      </c>
      <c r="G228" s="7" t="str">
        <f>"FROM Kolding.["&amp;A228&amp;"]"</f>
        <v>FROM Kolding.[move_job_desc]</v>
      </c>
    </row>
    <row r="229" spans="1:12" ht="30" customHeight="1">
      <c r="A229" s="9" t="s">
        <v>1068</v>
      </c>
      <c r="B229" s="16">
        <f t="shared" ref="B229:B252" si="24">COUNTIF(E:E,E229)</f>
        <v>0</v>
      </c>
      <c r="C229" s="16">
        <f>IF(A229=A629,C629+1,0)</f>
        <v>0</v>
      </c>
      <c r="E229" s="6"/>
      <c r="F229" s="23"/>
      <c r="G229" s="14" t="str">
        <f>"CREATE VIEW Kolding_LTS.["&amp;A229&amp;"] as select "</f>
        <v xml:space="preserve">CREATE VIEW Kolding_LTS.[movements] as select </v>
      </c>
    </row>
    <row r="230" spans="1:12">
      <c r="A230" s="9" t="str">
        <f t="shared" ref="A230:A244" si="25">A229</f>
        <v>movements</v>
      </c>
      <c r="B230" s="16">
        <f t="shared" si="24"/>
        <v>1</v>
      </c>
      <c r="C230" s="16">
        <f t="shared" ref="C230:C252" si="26">IF(A230=A229,C229+1,0)</f>
        <v>1</v>
      </c>
      <c r="D230" s="16">
        <v>0</v>
      </c>
      <c r="E230" s="10" t="s">
        <v>176</v>
      </c>
      <c r="F230" s="23" t="s">
        <v>928</v>
      </c>
      <c r="G230" s="7" t="str">
        <f t="shared" si="21"/>
        <v xml:space="preserve">    [Orig Source] = CONVERT(varchar(12),Column1),</v>
      </c>
      <c r="H230" s="22" t="s">
        <v>305</v>
      </c>
      <c r="I230" s="22" t="s">
        <v>306</v>
      </c>
      <c r="J230" s="22" t="s">
        <v>307</v>
      </c>
      <c r="K230" s="22" t="s">
        <v>308</v>
      </c>
      <c r="L230" s="22" t="s">
        <v>309</v>
      </c>
    </row>
    <row r="231" spans="1:12">
      <c r="A231" s="9" t="str">
        <f t="shared" si="25"/>
        <v>movements</v>
      </c>
      <c r="B231" s="16">
        <f t="shared" si="24"/>
        <v>1</v>
      </c>
      <c r="C231" s="16">
        <f t="shared" si="26"/>
        <v>2</v>
      </c>
      <c r="D231" s="16">
        <v>1</v>
      </c>
      <c r="E231" s="10" t="s">
        <v>177</v>
      </c>
      <c r="F231" s="23" t="s">
        <v>928</v>
      </c>
      <c r="G231" s="7" t="str">
        <f t="shared" si="21"/>
        <v xml:space="preserve">    [Source] = CONVERT(varchar(12),Column2),</v>
      </c>
      <c r="H231" s="22" t="s">
        <v>312</v>
      </c>
      <c r="I231" s="22" t="s">
        <v>313</v>
      </c>
      <c r="J231" s="22" t="s">
        <v>307</v>
      </c>
      <c r="K231" s="22" t="s">
        <v>314</v>
      </c>
      <c r="L231" s="22" t="s">
        <v>315</v>
      </c>
    </row>
    <row r="232" spans="1:12">
      <c r="A232" s="9" t="str">
        <f t="shared" si="25"/>
        <v>movements</v>
      </c>
      <c r="B232" s="16">
        <f t="shared" si="24"/>
        <v>1</v>
      </c>
      <c r="C232" s="16">
        <f t="shared" si="26"/>
        <v>3</v>
      </c>
      <c r="D232" s="16">
        <v>2</v>
      </c>
      <c r="E232" s="10" t="s">
        <v>178</v>
      </c>
      <c r="F232" s="23" t="s">
        <v>928</v>
      </c>
      <c r="G232" s="7" t="str">
        <f t="shared" si="21"/>
        <v xml:space="preserve">    [Destination] = CONVERT(varchar(12),Column3),</v>
      </c>
      <c r="H232" s="22" t="s">
        <v>284</v>
      </c>
      <c r="I232" s="22" t="s">
        <v>316</v>
      </c>
      <c r="J232" s="22" t="s">
        <v>317</v>
      </c>
      <c r="K232" s="22" t="s">
        <v>318</v>
      </c>
      <c r="L232" s="22" t="s">
        <v>319</v>
      </c>
    </row>
    <row r="233" spans="1:12">
      <c r="A233" s="9" t="str">
        <f t="shared" si="25"/>
        <v>movements</v>
      </c>
      <c r="B233" s="16">
        <f t="shared" si="24"/>
        <v>1</v>
      </c>
      <c r="C233" s="16">
        <f t="shared" si="26"/>
        <v>4</v>
      </c>
      <c r="D233" s="16">
        <v>3</v>
      </c>
      <c r="E233" s="10" t="s">
        <v>179</v>
      </c>
      <c r="F233" s="23" t="s">
        <v>928</v>
      </c>
      <c r="G233" s="7" t="str">
        <f t="shared" si="21"/>
        <v xml:space="preserve">    [Final Dest] = CONVERT(varchar(12),Column4),</v>
      </c>
      <c r="H233" s="22" t="s">
        <v>322</v>
      </c>
      <c r="I233" s="22" t="s">
        <v>323</v>
      </c>
      <c r="J233" s="22" t="s">
        <v>285</v>
      </c>
      <c r="K233" s="22" t="s">
        <v>324</v>
      </c>
      <c r="L233" s="22" t="s">
        <v>325</v>
      </c>
    </row>
    <row r="234" spans="1:12">
      <c r="A234" s="9" t="str">
        <f t="shared" si="25"/>
        <v>movements</v>
      </c>
      <c r="B234" s="16">
        <f t="shared" si="24"/>
        <v>4</v>
      </c>
      <c r="C234" s="16">
        <f t="shared" si="26"/>
        <v>5</v>
      </c>
      <c r="D234" s="16">
        <v>4</v>
      </c>
      <c r="E234" s="7" t="s">
        <v>180</v>
      </c>
      <c r="F234" s="23" t="s">
        <v>928</v>
      </c>
      <c r="G234" s="7" t="str">
        <f t="shared" si="21"/>
        <v xml:space="preserve">    [MHE] = CONVERT(varchar(12),Column5),</v>
      </c>
      <c r="H234" s="22" t="s">
        <v>327</v>
      </c>
      <c r="I234" s="22" t="s">
        <v>328</v>
      </c>
      <c r="J234" s="22" t="s">
        <v>328</v>
      </c>
      <c r="K234" s="22" t="s">
        <v>328</v>
      </c>
      <c r="L234" s="22" t="s">
        <v>328</v>
      </c>
    </row>
    <row r="235" spans="1:12">
      <c r="A235" s="9" t="str">
        <f t="shared" si="25"/>
        <v>movements</v>
      </c>
      <c r="B235" s="16">
        <f t="shared" si="24"/>
        <v>1</v>
      </c>
      <c r="C235" s="16">
        <f t="shared" si="26"/>
        <v>6</v>
      </c>
      <c r="D235" s="16">
        <v>5</v>
      </c>
      <c r="E235" s="10" t="s">
        <v>181</v>
      </c>
      <c r="F235" s="23" t="s">
        <v>929</v>
      </c>
      <c r="G235" s="7" t="str">
        <f t="shared" si="21"/>
        <v xml:space="preserve">    [Create Time] = CONVERT(datetime,Column6),</v>
      </c>
      <c r="H235" s="22" t="s">
        <v>329</v>
      </c>
      <c r="I235" s="22" t="s">
        <v>330</v>
      </c>
      <c r="J235" s="22" t="s">
        <v>331</v>
      </c>
      <c r="K235" s="22" t="s">
        <v>332</v>
      </c>
      <c r="L235" s="22" t="s">
        <v>333</v>
      </c>
    </row>
    <row r="236" spans="1:12">
      <c r="A236" s="9" t="str">
        <f t="shared" si="25"/>
        <v>movements</v>
      </c>
      <c r="B236" s="16">
        <f t="shared" si="24"/>
        <v>1</v>
      </c>
      <c r="C236" s="16">
        <f t="shared" si="26"/>
        <v>7</v>
      </c>
      <c r="D236" s="16">
        <v>6</v>
      </c>
      <c r="E236" s="10" t="s">
        <v>182</v>
      </c>
      <c r="F236" s="23" t="s">
        <v>929</v>
      </c>
      <c r="G236" s="7" t="str">
        <f t="shared" si="21"/>
        <v xml:space="preserve">    [Active Time] = CONVERT(datetime,Column7),</v>
      </c>
      <c r="H236" s="22" t="s">
        <v>329</v>
      </c>
      <c r="I236" s="22" t="s">
        <v>330</v>
      </c>
      <c r="J236" s="22" t="s">
        <v>331</v>
      </c>
      <c r="K236" s="22" t="s">
        <v>332</v>
      </c>
      <c r="L236" s="22" t="s">
        <v>333</v>
      </c>
    </row>
    <row r="237" spans="1:12">
      <c r="A237" s="9" t="str">
        <f t="shared" si="25"/>
        <v>movements</v>
      </c>
      <c r="B237" s="16">
        <f t="shared" si="24"/>
        <v>2</v>
      </c>
      <c r="C237" s="16">
        <f t="shared" si="26"/>
        <v>8</v>
      </c>
      <c r="D237" s="16">
        <v>7</v>
      </c>
      <c r="E237" s="7" t="s">
        <v>183</v>
      </c>
      <c r="F237" s="23" t="s">
        <v>929</v>
      </c>
      <c r="G237" s="7" t="str">
        <f t="shared" si="21"/>
        <v xml:space="preserve">    [Stage Time] = CONVERT(datetime,Column8),</v>
      </c>
      <c r="H237" s="22" t="s">
        <v>336</v>
      </c>
      <c r="I237" s="22" t="s">
        <v>337</v>
      </c>
      <c r="J237" s="22" t="s">
        <v>331</v>
      </c>
      <c r="K237" s="22" t="s">
        <v>338</v>
      </c>
      <c r="L237" s="22" t="s">
        <v>339</v>
      </c>
    </row>
    <row r="238" spans="1:12">
      <c r="A238" s="9" t="str">
        <f t="shared" si="25"/>
        <v>movements</v>
      </c>
      <c r="B238" s="16">
        <f t="shared" si="24"/>
        <v>9</v>
      </c>
      <c r="C238" s="16">
        <f t="shared" si="26"/>
        <v>9</v>
      </c>
      <c r="D238" s="16">
        <v>8</v>
      </c>
      <c r="E238" s="7" t="s">
        <v>163</v>
      </c>
      <c r="F238" s="23" t="s">
        <v>904</v>
      </c>
      <c r="G238" s="7" t="str">
        <f t="shared" ref="G238:G305" si="27">"    ["&amp;E238 &amp;"] = CONVERT("&amp;F238&amp;",Column" &amp;C238&amp;"),"</f>
        <v xml:space="preserve">    [Type] = CONVERT(smallint,Column9),</v>
      </c>
      <c r="H238" s="22">
        <v>1</v>
      </c>
      <c r="I238" s="22">
        <v>1</v>
      </c>
      <c r="J238" s="22">
        <v>1</v>
      </c>
      <c r="K238" s="22">
        <v>1</v>
      </c>
      <c r="L238" s="22">
        <v>1</v>
      </c>
    </row>
    <row r="239" spans="1:12">
      <c r="A239" s="9" t="str">
        <f t="shared" si="25"/>
        <v>movements</v>
      </c>
      <c r="B239" s="16">
        <f t="shared" si="24"/>
        <v>1</v>
      </c>
      <c r="C239" s="16">
        <f t="shared" si="26"/>
        <v>10</v>
      </c>
      <c r="D239" s="16">
        <v>9</v>
      </c>
      <c r="E239" s="10" t="s">
        <v>184</v>
      </c>
      <c r="F239" s="23" t="s">
        <v>904</v>
      </c>
      <c r="G239" s="7" t="str">
        <f t="shared" si="27"/>
        <v xml:space="preserve">    [Reason] = CONVERT(smallint,Column10),</v>
      </c>
      <c r="H239" s="22">
        <v>5</v>
      </c>
      <c r="I239" s="22">
        <v>-1</v>
      </c>
      <c r="J239" s="22">
        <v>-1</v>
      </c>
      <c r="K239" s="22">
        <v>-1</v>
      </c>
      <c r="L239" s="22">
        <v>-1</v>
      </c>
    </row>
    <row r="240" spans="1:12">
      <c r="A240" s="9" t="str">
        <f t="shared" si="25"/>
        <v>movements</v>
      </c>
      <c r="B240" s="16">
        <f t="shared" si="24"/>
        <v>7</v>
      </c>
      <c r="C240" s="16">
        <f t="shared" si="26"/>
        <v>11</v>
      </c>
      <c r="D240" s="16">
        <v>10</v>
      </c>
      <c r="E240" s="7" t="s">
        <v>185</v>
      </c>
      <c r="F240" s="23" t="s">
        <v>906</v>
      </c>
      <c r="G240" s="7" t="str">
        <f t="shared" si="27"/>
        <v xml:space="preserve">    [Priority] = CONVERT(int,Column11),</v>
      </c>
      <c r="H240" s="22">
        <v>5</v>
      </c>
      <c r="I240" s="22">
        <v>51</v>
      </c>
      <c r="J240" s="22">
        <v>5</v>
      </c>
      <c r="K240" s="22">
        <v>5</v>
      </c>
      <c r="L240" s="22">
        <v>5</v>
      </c>
    </row>
    <row r="241" spans="1:12">
      <c r="A241" s="9" t="str">
        <f t="shared" si="25"/>
        <v>movements</v>
      </c>
      <c r="B241" s="16">
        <f t="shared" si="24"/>
        <v>1</v>
      </c>
      <c r="C241" s="16">
        <f t="shared" si="26"/>
        <v>12</v>
      </c>
      <c r="D241" s="16">
        <v>11</v>
      </c>
      <c r="E241" s="10" t="s">
        <v>186</v>
      </c>
      <c r="F241" s="23" t="s">
        <v>904</v>
      </c>
      <c r="G241" s="7" t="str">
        <f t="shared" si="27"/>
        <v xml:space="preserve">    [Tx Flag] = CONVERT(smallint,Column12),</v>
      </c>
      <c r="H241" s="22">
        <v>0</v>
      </c>
      <c r="I241" s="22">
        <v>1</v>
      </c>
      <c r="J241" s="22">
        <v>1</v>
      </c>
      <c r="K241" s="22">
        <v>1</v>
      </c>
      <c r="L241" s="22">
        <v>1</v>
      </c>
    </row>
    <row r="242" spans="1:12">
      <c r="A242" s="9" t="str">
        <f t="shared" si="25"/>
        <v>movements</v>
      </c>
      <c r="B242" s="16">
        <f t="shared" si="24"/>
        <v>1</v>
      </c>
      <c r="C242" s="16">
        <f t="shared" si="26"/>
        <v>13</v>
      </c>
      <c r="D242" s="16">
        <v>12</v>
      </c>
      <c r="E242" s="10" t="s">
        <v>187</v>
      </c>
      <c r="F242" s="23" t="s">
        <v>904</v>
      </c>
      <c r="G242" s="7" t="str">
        <f t="shared" si="27"/>
        <v xml:space="preserve">    [Group] = CONVERT(smallint,Column13),</v>
      </c>
      <c r="H242" s="22">
        <v>104</v>
      </c>
      <c r="I242" s="22">
        <v>0</v>
      </c>
      <c r="J242" s="22">
        <v>103</v>
      </c>
      <c r="K242" s="22">
        <v>0</v>
      </c>
      <c r="L242" s="22">
        <v>0</v>
      </c>
    </row>
    <row r="243" spans="1:12">
      <c r="A243" s="9" t="str">
        <f t="shared" si="25"/>
        <v>movements</v>
      </c>
      <c r="B243" s="16">
        <f t="shared" si="24"/>
        <v>6</v>
      </c>
      <c r="C243" s="16">
        <f t="shared" si="26"/>
        <v>14</v>
      </c>
      <c r="D243" s="16">
        <v>13</v>
      </c>
      <c r="E243" s="7" t="s">
        <v>188</v>
      </c>
      <c r="F243" s="23" t="s">
        <v>904</v>
      </c>
      <c r="G243" s="7" t="str">
        <f t="shared" si="27"/>
        <v xml:space="preserve">    [Stage] = CONVERT(smallint,Column14),</v>
      </c>
      <c r="H243" s="22">
        <v>50</v>
      </c>
      <c r="I243" s="22">
        <v>500</v>
      </c>
      <c r="J243" s="22">
        <v>500</v>
      </c>
      <c r="K243" s="22">
        <v>500</v>
      </c>
      <c r="L243" s="22">
        <v>500</v>
      </c>
    </row>
    <row r="244" spans="1:12">
      <c r="A244" s="9" t="str">
        <f t="shared" si="25"/>
        <v>movements</v>
      </c>
      <c r="B244" s="16">
        <f t="shared" si="24"/>
        <v>5</v>
      </c>
      <c r="C244" s="16">
        <f t="shared" si="26"/>
        <v>15</v>
      </c>
      <c r="D244" s="16">
        <v>14</v>
      </c>
      <c r="E244" s="7" t="s">
        <v>9</v>
      </c>
      <c r="F244" s="23" t="s">
        <v>909</v>
      </c>
      <c r="G244" s="7" t="str">
        <f t="shared" si="27"/>
        <v xml:space="preserve">    [Container Id] = CONVERT(varchar(20),Column15),</v>
      </c>
      <c r="H244" s="22" t="s">
        <v>53</v>
      </c>
      <c r="I244" s="22" t="s">
        <v>341</v>
      </c>
      <c r="J244" s="22" t="s">
        <v>342</v>
      </c>
      <c r="K244" s="22" t="s">
        <v>343</v>
      </c>
      <c r="L244" s="22" t="s">
        <v>344</v>
      </c>
    </row>
    <row r="245" spans="1:12">
      <c r="A245" s="9" t="str">
        <f t="shared" ref="A245:A365" si="28">A244</f>
        <v>movements</v>
      </c>
      <c r="B245" s="16">
        <f t="shared" si="24"/>
        <v>5</v>
      </c>
      <c r="C245" s="16">
        <f t="shared" si="26"/>
        <v>16</v>
      </c>
      <c r="D245" s="16">
        <v>15</v>
      </c>
      <c r="E245" s="7" t="s">
        <v>189</v>
      </c>
      <c r="F245" s="23" t="s">
        <v>972</v>
      </c>
      <c r="G245" s="7" t="str">
        <f t="shared" si="27"/>
        <v xml:space="preserve">    [Category] = CONVERT(varchar(4),Column16),</v>
      </c>
      <c r="H245" s="22" t="s">
        <v>347</v>
      </c>
      <c r="I245" s="22" t="s">
        <v>348</v>
      </c>
      <c r="J245" s="22" t="s">
        <v>349</v>
      </c>
      <c r="K245" s="22" t="s">
        <v>349</v>
      </c>
      <c r="L245" s="22" t="s">
        <v>350</v>
      </c>
    </row>
    <row r="246" spans="1:12">
      <c r="A246" s="9" t="str">
        <f t="shared" si="28"/>
        <v>movements</v>
      </c>
      <c r="B246" s="16">
        <f t="shared" si="24"/>
        <v>2</v>
      </c>
      <c r="C246" s="16">
        <f t="shared" si="26"/>
        <v>17</v>
      </c>
      <c r="D246" s="16">
        <v>16</v>
      </c>
      <c r="E246" s="7" t="s">
        <v>190</v>
      </c>
      <c r="F246" s="23" t="s">
        <v>904</v>
      </c>
      <c r="G246" s="7" t="str">
        <f t="shared" si="27"/>
        <v xml:space="preserve">    [Aisle] = CONVERT(smallint,Column17),</v>
      </c>
      <c r="H246" s="22">
        <v>-1</v>
      </c>
      <c r="I246" s="22">
        <v>-1</v>
      </c>
      <c r="J246" s="22">
        <v>-1</v>
      </c>
      <c r="K246" s="22">
        <v>2</v>
      </c>
      <c r="L246" s="22">
        <v>-1</v>
      </c>
    </row>
    <row r="247" spans="1:12">
      <c r="A247" s="9" t="str">
        <f t="shared" si="28"/>
        <v>movements</v>
      </c>
      <c r="B247" s="16">
        <f t="shared" si="24"/>
        <v>1</v>
      </c>
      <c r="C247" s="16">
        <f t="shared" si="26"/>
        <v>18</v>
      </c>
      <c r="D247" s="16">
        <v>17</v>
      </c>
      <c r="E247" s="10" t="s">
        <v>191</v>
      </c>
      <c r="F247" s="23" t="s">
        <v>904</v>
      </c>
      <c r="G247" s="7" t="str">
        <f t="shared" si="27"/>
        <v xml:space="preserve">    [Handler] = CONVERT(smallint,Column18),</v>
      </c>
      <c r="H247" s="22">
        <v>0</v>
      </c>
      <c r="I247" s="22">
        <v>0</v>
      </c>
      <c r="J247" s="22">
        <v>0</v>
      </c>
      <c r="K247" s="22">
        <v>0</v>
      </c>
      <c r="L247" s="22">
        <v>0</v>
      </c>
    </row>
    <row r="248" spans="1:12">
      <c r="A248" s="9" t="str">
        <f t="shared" si="28"/>
        <v>movements</v>
      </c>
      <c r="B248" s="16">
        <f t="shared" si="24"/>
        <v>1</v>
      </c>
      <c r="C248" s="16">
        <f t="shared" si="26"/>
        <v>19</v>
      </c>
      <c r="D248" s="16">
        <v>18</v>
      </c>
      <c r="E248" s="10" t="s">
        <v>192</v>
      </c>
      <c r="F248" s="23" t="s">
        <v>904</v>
      </c>
      <c r="G248" s="7" t="str">
        <f t="shared" si="27"/>
        <v xml:space="preserve">    [Orig Priority] = CONVERT(smallint,Column19),</v>
      </c>
      <c r="H248" s="22">
        <v>0</v>
      </c>
      <c r="I248" s="22">
        <v>0</v>
      </c>
      <c r="J248" s="22">
        <v>0</v>
      </c>
      <c r="K248" s="22">
        <v>0</v>
      </c>
      <c r="L248" s="22">
        <v>0</v>
      </c>
    </row>
    <row r="249" spans="1:12">
      <c r="A249" s="9" t="str">
        <f t="shared" si="28"/>
        <v>movements</v>
      </c>
      <c r="B249" s="16">
        <f t="shared" si="24"/>
        <v>1</v>
      </c>
      <c r="C249" s="16">
        <f t="shared" si="26"/>
        <v>20</v>
      </c>
      <c r="D249" s="16">
        <v>19</v>
      </c>
      <c r="E249" s="10" t="s">
        <v>193</v>
      </c>
      <c r="F249" s="23" t="s">
        <v>904</v>
      </c>
      <c r="G249" s="7" t="str">
        <f t="shared" si="27"/>
        <v xml:space="preserve">    [Mission] = CONVERT(smallint,Column20),</v>
      </c>
      <c r="H249" s="22">
        <v>0</v>
      </c>
      <c r="I249" s="22">
        <v>0</v>
      </c>
      <c r="J249" s="22">
        <v>0</v>
      </c>
      <c r="K249" s="22">
        <v>0</v>
      </c>
      <c r="L249" s="22">
        <v>0</v>
      </c>
    </row>
    <row r="250" spans="1:12">
      <c r="A250" s="9" t="str">
        <f t="shared" si="28"/>
        <v>movements</v>
      </c>
      <c r="B250" s="16">
        <f t="shared" si="24"/>
        <v>2</v>
      </c>
      <c r="C250" s="16">
        <f t="shared" si="26"/>
        <v>21</v>
      </c>
      <c r="D250" s="16">
        <v>20</v>
      </c>
      <c r="E250" s="7" t="s">
        <v>194</v>
      </c>
      <c r="F250" s="23" t="s">
        <v>904</v>
      </c>
      <c r="G250" s="7" t="str">
        <f t="shared" si="27"/>
        <v xml:space="preserve">    [Wave] = CONVERT(smallint,Column21),</v>
      </c>
      <c r="H250" s="22">
        <v>-1</v>
      </c>
      <c r="I250" s="22">
        <v>-1</v>
      </c>
      <c r="J250" s="22">
        <v>-1</v>
      </c>
      <c r="K250" s="22">
        <v>-1</v>
      </c>
      <c r="L250" s="22">
        <v>-1</v>
      </c>
    </row>
    <row r="251" spans="1:12">
      <c r="A251" s="9" t="str">
        <f t="shared" si="28"/>
        <v>movements</v>
      </c>
      <c r="B251" s="16">
        <f t="shared" si="24"/>
        <v>2</v>
      </c>
      <c r="C251" s="16">
        <f t="shared" si="26"/>
        <v>22</v>
      </c>
      <c r="D251" s="16">
        <v>21</v>
      </c>
      <c r="E251" s="7" t="s">
        <v>195</v>
      </c>
      <c r="F251" s="23" t="s">
        <v>904</v>
      </c>
      <c r="G251" s="7" t="str">
        <f t="shared" si="27"/>
        <v xml:space="preserve">    [Load] = CONVERT(smallint,Column22),</v>
      </c>
      <c r="H251" s="22">
        <v>-1</v>
      </c>
      <c r="I251" s="22">
        <v>-1</v>
      </c>
      <c r="J251" s="22">
        <v>-1</v>
      </c>
      <c r="K251" s="22">
        <v>-1</v>
      </c>
      <c r="L251" s="22">
        <v>-1</v>
      </c>
    </row>
    <row r="252" spans="1:12">
      <c r="A252" s="9" t="str">
        <f t="shared" si="28"/>
        <v>movements</v>
      </c>
      <c r="B252" s="16">
        <f t="shared" si="24"/>
        <v>2</v>
      </c>
      <c r="C252" s="16">
        <f t="shared" si="26"/>
        <v>23</v>
      </c>
      <c r="D252" s="16">
        <v>22</v>
      </c>
      <c r="E252" s="7" t="s">
        <v>196</v>
      </c>
      <c r="F252" s="23" t="s">
        <v>904</v>
      </c>
      <c r="G252" s="7" t="str">
        <f t="shared" si="27"/>
        <v xml:space="preserve">    [Load Part] = CONVERT(smallint,Column23),</v>
      </c>
      <c r="H252" s="22">
        <v>-1</v>
      </c>
      <c r="I252" s="22">
        <v>-1</v>
      </c>
      <c r="J252" s="22">
        <v>-1</v>
      </c>
      <c r="K252" s="22">
        <v>-1</v>
      </c>
      <c r="L252" s="22">
        <v>-1</v>
      </c>
    </row>
    <row r="253" spans="1:12">
      <c r="A253" s="9" t="str">
        <f t="shared" si="28"/>
        <v>movements</v>
      </c>
      <c r="C253" s="16">
        <v>0</v>
      </c>
      <c r="G253" s="7" t="str">
        <f>"FROM Kolding.["&amp;A253&amp;"]"</f>
        <v>FROM Kolding.[movements]</v>
      </c>
    </row>
    <row r="254" spans="1:12" ht="30" customHeight="1">
      <c r="A254" s="9" t="s">
        <v>1069</v>
      </c>
      <c r="B254" s="16">
        <f t="shared" ref="B254:B277" si="29">COUNTIF(E:E,E254)</f>
        <v>0</v>
      </c>
      <c r="C254" s="16">
        <f>IF(A254=A252,C252+1,0)</f>
        <v>0</v>
      </c>
      <c r="E254" s="6"/>
      <c r="F254" s="23"/>
      <c r="G254" s="14" t="str">
        <f>"CREATE VIEW Kolding_LTS.["&amp;A254&amp;"] as select "</f>
        <v xml:space="preserve">CREATE VIEW Kolding_LTS.[operator_event] as select </v>
      </c>
    </row>
    <row r="255" spans="1:12">
      <c r="A255" s="9" t="str">
        <f t="shared" si="28"/>
        <v>operator_event</v>
      </c>
      <c r="B255" s="16">
        <f t="shared" si="29"/>
        <v>1</v>
      </c>
      <c r="C255" s="16">
        <f t="shared" ref="C255:C277" si="30">IF(A255=A254,C254+1,0)</f>
        <v>1</v>
      </c>
      <c r="D255" s="16">
        <v>0</v>
      </c>
      <c r="E255" s="10" t="s">
        <v>198</v>
      </c>
      <c r="F255" s="23" t="s">
        <v>906</v>
      </c>
      <c r="G255" s="7" t="str">
        <f t="shared" si="27"/>
        <v xml:space="preserve">    [His ID] = CONVERT(int,Column1),</v>
      </c>
      <c r="H255" s="22">
        <v>24411459</v>
      </c>
      <c r="I255" s="22">
        <v>24411460</v>
      </c>
      <c r="J255" s="22">
        <v>24411461</v>
      </c>
      <c r="K255" s="22">
        <v>24411462</v>
      </c>
      <c r="L255" s="22">
        <v>24411463</v>
      </c>
    </row>
    <row r="256" spans="1:12">
      <c r="A256" s="9" t="str">
        <f t="shared" si="28"/>
        <v>operator_event</v>
      </c>
      <c r="B256" s="16">
        <f t="shared" si="29"/>
        <v>2</v>
      </c>
      <c r="C256" s="16">
        <f t="shared" si="30"/>
        <v>2</v>
      </c>
      <c r="D256" s="16">
        <v>1</v>
      </c>
      <c r="E256" s="10" t="s">
        <v>199</v>
      </c>
      <c r="F256" s="23" t="s">
        <v>931</v>
      </c>
      <c r="G256" s="7" t="str">
        <f t="shared" si="27"/>
        <v xml:space="preserve">    [Job Type] = CONVERT(varchar(10),Column2),</v>
      </c>
      <c r="H256" s="22" t="s">
        <v>351</v>
      </c>
      <c r="I256" s="22" t="s">
        <v>351</v>
      </c>
      <c r="J256" s="22" t="s">
        <v>351</v>
      </c>
      <c r="K256" s="22" t="s">
        <v>351</v>
      </c>
      <c r="L256" s="22" t="s">
        <v>351</v>
      </c>
    </row>
    <row r="257" spans="1:12">
      <c r="A257" s="9" t="str">
        <f t="shared" si="28"/>
        <v>operator_event</v>
      </c>
      <c r="B257" s="16">
        <f t="shared" si="29"/>
        <v>1</v>
      </c>
      <c r="C257" s="16">
        <f t="shared" si="30"/>
        <v>3</v>
      </c>
      <c r="D257" s="16">
        <v>2</v>
      </c>
      <c r="E257" s="10" t="s">
        <v>200</v>
      </c>
      <c r="F257" s="23" t="s">
        <v>929</v>
      </c>
      <c r="G257" s="7" t="str">
        <f t="shared" si="27"/>
        <v xml:space="preserve">    [Timestamp] = CONVERT(datetime,Column3),</v>
      </c>
      <c r="H257" s="22" t="s">
        <v>352</v>
      </c>
      <c r="I257" s="22" t="s">
        <v>353</v>
      </c>
      <c r="J257" s="22" t="s">
        <v>354</v>
      </c>
      <c r="K257" s="22" t="s">
        <v>355</v>
      </c>
      <c r="L257" s="22" t="s">
        <v>356</v>
      </c>
    </row>
    <row r="258" spans="1:12">
      <c r="A258" s="9" t="str">
        <f t="shared" si="28"/>
        <v>operator_event</v>
      </c>
      <c r="B258" s="16">
        <f t="shared" si="29"/>
        <v>1</v>
      </c>
      <c r="C258" s="16">
        <f t="shared" si="30"/>
        <v>4</v>
      </c>
      <c r="D258" s="16">
        <v>3</v>
      </c>
      <c r="E258" s="10" t="s">
        <v>201</v>
      </c>
      <c r="F258" s="23" t="s">
        <v>906</v>
      </c>
      <c r="G258" s="7" t="str">
        <f t="shared" si="27"/>
        <v xml:space="preserve">    [Time Usage] = CONVERT(int,Column4),</v>
      </c>
      <c r="H258" s="22">
        <v>74</v>
      </c>
      <c r="I258" s="22">
        <v>4</v>
      </c>
      <c r="J258" s="22">
        <v>24</v>
      </c>
      <c r="K258" s="22">
        <v>5</v>
      </c>
      <c r="L258" s="22">
        <v>5</v>
      </c>
    </row>
    <row r="259" spans="1:12">
      <c r="A259" s="9" t="str">
        <f t="shared" si="28"/>
        <v>operator_event</v>
      </c>
      <c r="B259" s="16">
        <f t="shared" si="29"/>
        <v>1</v>
      </c>
      <c r="C259" s="16">
        <f t="shared" si="30"/>
        <v>5</v>
      </c>
      <c r="D259" s="16">
        <v>4</v>
      </c>
      <c r="E259" s="10" t="s">
        <v>202</v>
      </c>
      <c r="F259" s="23" t="s">
        <v>968</v>
      </c>
      <c r="G259" s="7" t="str">
        <f t="shared" si="27"/>
        <v xml:space="preserve">    [Operator ID] = CONVERT(varchar(32),Column5),</v>
      </c>
      <c r="H259" s="22" t="s">
        <v>358</v>
      </c>
      <c r="I259" s="22" t="s">
        <v>358</v>
      </c>
      <c r="J259" s="22" t="s">
        <v>358</v>
      </c>
      <c r="K259" s="22" t="s">
        <v>358</v>
      </c>
      <c r="L259" s="22" t="s">
        <v>358</v>
      </c>
    </row>
    <row r="260" spans="1:12">
      <c r="A260" s="9" t="str">
        <f t="shared" si="28"/>
        <v>operator_event</v>
      </c>
      <c r="B260" s="16">
        <f t="shared" si="29"/>
        <v>4</v>
      </c>
      <c r="C260" s="16">
        <f t="shared" si="30"/>
        <v>6</v>
      </c>
      <c r="D260" s="16">
        <v>5</v>
      </c>
      <c r="E260" s="10" t="s">
        <v>203</v>
      </c>
      <c r="F260" s="23" t="s">
        <v>906</v>
      </c>
      <c r="G260" s="7" t="str">
        <f t="shared" si="27"/>
        <v xml:space="preserve">    [Zone] = CONVERT(int,Column6),</v>
      </c>
      <c r="H260" s="22" t="s">
        <v>84</v>
      </c>
      <c r="I260" s="22" t="s">
        <v>84</v>
      </c>
      <c r="J260" s="22" t="s">
        <v>84</v>
      </c>
      <c r="K260" s="22" t="s">
        <v>84</v>
      </c>
      <c r="L260" s="22" t="s">
        <v>84</v>
      </c>
    </row>
    <row r="261" spans="1:12">
      <c r="A261" s="9" t="str">
        <f t="shared" si="28"/>
        <v>operator_event</v>
      </c>
      <c r="B261" s="16">
        <f t="shared" si="29"/>
        <v>1</v>
      </c>
      <c r="C261" s="16">
        <f t="shared" si="30"/>
        <v>7</v>
      </c>
      <c r="D261" s="16">
        <v>6</v>
      </c>
      <c r="E261" s="10" t="s">
        <v>204</v>
      </c>
      <c r="F261" s="23" t="s">
        <v>928</v>
      </c>
      <c r="G261" s="7" t="str">
        <f t="shared" si="27"/>
        <v xml:space="preserve">    [From Location] = CONVERT(varchar(12),Column7),</v>
      </c>
      <c r="H261" s="22" t="s">
        <v>359</v>
      </c>
      <c r="I261" s="22" t="s">
        <v>359</v>
      </c>
      <c r="J261" s="22" t="s">
        <v>360</v>
      </c>
      <c r="K261" s="22" t="s">
        <v>360</v>
      </c>
      <c r="L261" s="22" t="s">
        <v>360</v>
      </c>
    </row>
    <row r="262" spans="1:12">
      <c r="A262" s="9" t="str">
        <f t="shared" si="28"/>
        <v>operator_event</v>
      </c>
      <c r="B262" s="16">
        <f t="shared" si="29"/>
        <v>1</v>
      </c>
      <c r="C262" s="16">
        <f t="shared" si="30"/>
        <v>8</v>
      </c>
      <c r="D262" s="16">
        <v>7</v>
      </c>
      <c r="E262" s="10" t="s">
        <v>205</v>
      </c>
      <c r="F262" s="23" t="s">
        <v>928</v>
      </c>
      <c r="G262" s="7" t="str">
        <f t="shared" si="27"/>
        <v xml:space="preserve">    [Via Location] = CONVERT(varchar(12),Column8),</v>
      </c>
      <c r="H262" s="22" t="s">
        <v>284</v>
      </c>
      <c r="I262" s="22" t="s">
        <v>284</v>
      </c>
      <c r="J262" s="22" t="s">
        <v>284</v>
      </c>
      <c r="K262" s="22" t="s">
        <v>284</v>
      </c>
      <c r="L262" s="22" t="s">
        <v>284</v>
      </c>
    </row>
    <row r="263" spans="1:12">
      <c r="A263" s="9" t="str">
        <f t="shared" si="28"/>
        <v>operator_event</v>
      </c>
      <c r="B263" s="16">
        <f t="shared" si="29"/>
        <v>1</v>
      </c>
      <c r="C263" s="16">
        <f t="shared" si="30"/>
        <v>9</v>
      </c>
      <c r="D263" s="16">
        <v>8</v>
      </c>
      <c r="E263" s="10" t="s">
        <v>206</v>
      </c>
      <c r="F263" s="23" t="s">
        <v>928</v>
      </c>
      <c r="G263" s="7" t="str">
        <f t="shared" si="27"/>
        <v xml:space="preserve">    [To Location] = CONVERT(varchar(12),Column9),</v>
      </c>
      <c r="H263" s="22" t="s">
        <v>284</v>
      </c>
      <c r="I263" s="22" t="s">
        <v>284</v>
      </c>
      <c r="J263" s="22" t="s">
        <v>284</v>
      </c>
      <c r="K263" s="22" t="s">
        <v>284</v>
      </c>
      <c r="L263" s="22" t="s">
        <v>284</v>
      </c>
    </row>
    <row r="264" spans="1:12">
      <c r="A264" s="9" t="str">
        <f t="shared" si="28"/>
        <v>operator_event</v>
      </c>
      <c r="B264" s="16">
        <f t="shared" si="29"/>
        <v>6</v>
      </c>
      <c r="C264" s="16">
        <f t="shared" si="30"/>
        <v>10</v>
      </c>
      <c r="D264" s="16">
        <v>9</v>
      </c>
      <c r="E264" s="7" t="s">
        <v>207</v>
      </c>
      <c r="F264" s="23" t="s">
        <v>928</v>
      </c>
      <c r="G264" s="7" t="str">
        <f t="shared" si="27"/>
        <v xml:space="preserve">    [Order ID] = CONVERT(varchar(12),Column10),</v>
      </c>
      <c r="H264" s="22" t="s">
        <v>362</v>
      </c>
      <c r="I264" s="22" t="s">
        <v>363</v>
      </c>
      <c r="J264" s="22" t="s">
        <v>364</v>
      </c>
      <c r="K264" s="22" t="s">
        <v>365</v>
      </c>
      <c r="L264" s="22" t="s">
        <v>363</v>
      </c>
    </row>
    <row r="265" spans="1:12">
      <c r="A265" s="9" t="str">
        <f t="shared" si="28"/>
        <v>operator_event</v>
      </c>
      <c r="B265" s="16">
        <f t="shared" si="29"/>
        <v>5</v>
      </c>
      <c r="C265" s="16">
        <f t="shared" si="30"/>
        <v>11</v>
      </c>
      <c r="D265" s="16">
        <v>10</v>
      </c>
      <c r="E265" s="7" t="s">
        <v>40</v>
      </c>
      <c r="F265" s="23" t="s">
        <v>933</v>
      </c>
      <c r="G265" s="7" t="str">
        <f t="shared" si="27"/>
        <v xml:space="preserve">    [Order Number] = CONVERT(varchar(25),Column11),</v>
      </c>
      <c r="H265" s="22" t="s">
        <v>91</v>
      </c>
      <c r="I265" s="22" t="s">
        <v>80</v>
      </c>
      <c r="J265" s="22" t="s">
        <v>82</v>
      </c>
      <c r="K265" s="22" t="s">
        <v>81</v>
      </c>
      <c r="L265" s="22" t="s">
        <v>80</v>
      </c>
    </row>
    <row r="266" spans="1:12">
      <c r="A266" s="9" t="str">
        <f t="shared" si="28"/>
        <v>operator_event</v>
      </c>
      <c r="B266" s="16">
        <f t="shared" si="29"/>
        <v>6</v>
      </c>
      <c r="C266" s="16">
        <f t="shared" si="30"/>
        <v>12</v>
      </c>
      <c r="D266" s="16">
        <v>11</v>
      </c>
      <c r="E266" s="7" t="s">
        <v>208</v>
      </c>
      <c r="F266" s="23" t="s">
        <v>906</v>
      </c>
      <c r="G266" s="7" t="str">
        <f t="shared" si="27"/>
        <v xml:space="preserve">    [Alloc Ref] = CONVERT(int,Column12),</v>
      </c>
      <c r="H266" s="22" t="s">
        <v>366</v>
      </c>
      <c r="I266" s="22" t="s">
        <v>367</v>
      </c>
      <c r="J266" s="22" t="s">
        <v>368</v>
      </c>
      <c r="K266" s="22" t="s">
        <v>369</v>
      </c>
      <c r="L266" s="22" t="s">
        <v>370</v>
      </c>
    </row>
    <row r="267" spans="1:12">
      <c r="A267" s="9" t="str">
        <f t="shared" si="28"/>
        <v>operator_event</v>
      </c>
      <c r="B267" s="16">
        <f t="shared" si="29"/>
        <v>1</v>
      </c>
      <c r="C267" s="16">
        <f t="shared" si="30"/>
        <v>13</v>
      </c>
      <c r="D267" s="16">
        <v>12</v>
      </c>
      <c r="E267" s="10" t="s">
        <v>209</v>
      </c>
      <c r="F267" s="23" t="s">
        <v>906</v>
      </c>
      <c r="G267" s="7" t="str">
        <f t="shared" si="27"/>
        <v xml:space="preserve">    [Line No] = CONVERT(int,Column13),</v>
      </c>
      <c r="H267" s="22">
        <v>10</v>
      </c>
      <c r="I267" s="22">
        <v>130</v>
      </c>
      <c r="J267" s="22">
        <v>30</v>
      </c>
      <c r="K267" s="22">
        <v>40</v>
      </c>
      <c r="L267" s="22">
        <v>90</v>
      </c>
    </row>
    <row r="268" spans="1:12">
      <c r="A268" s="9" t="str">
        <f t="shared" si="28"/>
        <v>operator_event</v>
      </c>
      <c r="B268" s="16">
        <f t="shared" si="29"/>
        <v>7</v>
      </c>
      <c r="C268" s="16">
        <f t="shared" si="30"/>
        <v>14</v>
      </c>
      <c r="D268" s="16">
        <v>13</v>
      </c>
      <c r="E268" s="7" t="s">
        <v>185</v>
      </c>
      <c r="F268" s="23" t="s">
        <v>904</v>
      </c>
      <c r="G268" s="7" t="str">
        <f t="shared" si="27"/>
        <v xml:space="preserve">    [Priority] = CONVERT(smallint,Column14),</v>
      </c>
      <c r="H268" s="22">
        <v>51</v>
      </c>
      <c r="I268" s="22">
        <v>51</v>
      </c>
      <c r="J268" s="22">
        <v>51</v>
      </c>
      <c r="K268" s="22">
        <v>51</v>
      </c>
      <c r="L268" s="22">
        <v>51</v>
      </c>
    </row>
    <row r="269" spans="1:12">
      <c r="A269" s="9" t="str">
        <f t="shared" si="28"/>
        <v>operator_event</v>
      </c>
      <c r="B269" s="16">
        <f t="shared" si="29"/>
        <v>10</v>
      </c>
      <c r="C269" s="16">
        <f t="shared" si="30"/>
        <v>15</v>
      </c>
      <c r="D269" s="16">
        <v>14</v>
      </c>
      <c r="E269" s="7" t="s">
        <v>95</v>
      </c>
      <c r="F269" s="23" t="s">
        <v>928</v>
      </c>
      <c r="G269" s="7" t="str">
        <f t="shared" si="27"/>
        <v xml:space="preserve">    [Item Code] = CONVERT(varchar(12),Column15),</v>
      </c>
      <c r="H269" s="22" t="s">
        <v>372</v>
      </c>
      <c r="I269" s="22" t="s">
        <v>372</v>
      </c>
      <c r="J269" s="22" t="s">
        <v>373</v>
      </c>
      <c r="K269" s="22" t="s">
        <v>373</v>
      </c>
      <c r="L269" s="22" t="s">
        <v>373</v>
      </c>
    </row>
    <row r="270" spans="1:12">
      <c r="A270" s="9" t="str">
        <f t="shared" si="28"/>
        <v>operator_event</v>
      </c>
      <c r="B270" s="16">
        <f t="shared" si="29"/>
        <v>1</v>
      </c>
      <c r="C270" s="16">
        <f t="shared" si="30"/>
        <v>16</v>
      </c>
      <c r="D270" s="16">
        <v>15</v>
      </c>
      <c r="E270" s="10" t="s">
        <v>210</v>
      </c>
      <c r="F270" s="23" t="s">
        <v>909</v>
      </c>
      <c r="G270" s="7" t="str">
        <f t="shared" si="27"/>
        <v xml:space="preserve">    [From Container] = CONVERT(varchar(20),Column16),</v>
      </c>
      <c r="H270" s="22" t="s">
        <v>375</v>
      </c>
      <c r="I270" s="22" t="s">
        <v>375</v>
      </c>
      <c r="J270" s="22" t="s">
        <v>376</v>
      </c>
      <c r="K270" s="22" t="s">
        <v>376</v>
      </c>
      <c r="L270" s="22" t="s">
        <v>376</v>
      </c>
    </row>
    <row r="271" spans="1:12">
      <c r="A271" s="9" t="str">
        <f t="shared" si="28"/>
        <v>operator_event</v>
      </c>
      <c r="B271" s="16">
        <f t="shared" si="29"/>
        <v>1</v>
      </c>
      <c r="C271" s="16">
        <f t="shared" si="30"/>
        <v>17</v>
      </c>
      <c r="D271" s="16">
        <v>16</v>
      </c>
      <c r="E271" s="10" t="s">
        <v>211</v>
      </c>
      <c r="F271" s="23" t="s">
        <v>909</v>
      </c>
      <c r="G271" s="7" t="str">
        <f t="shared" si="27"/>
        <v xml:space="preserve">    [To Container] = CONVERT(varchar(20),Column17),</v>
      </c>
      <c r="H271" s="22" t="s">
        <v>378</v>
      </c>
      <c r="I271" s="22" t="s">
        <v>378</v>
      </c>
      <c r="J271" s="22" t="s">
        <v>378</v>
      </c>
      <c r="K271" s="22" t="s">
        <v>378</v>
      </c>
      <c r="L271" s="22" t="s">
        <v>378</v>
      </c>
    </row>
    <row r="272" spans="1:12">
      <c r="A272" s="9" t="str">
        <f t="shared" si="28"/>
        <v>operator_event</v>
      </c>
      <c r="B272" s="16">
        <f t="shared" si="29"/>
        <v>1</v>
      </c>
      <c r="C272" s="16">
        <f t="shared" si="30"/>
        <v>18</v>
      </c>
      <c r="D272" s="16">
        <v>17</v>
      </c>
      <c r="E272" s="10" t="s">
        <v>212</v>
      </c>
      <c r="F272" s="23" t="s">
        <v>906</v>
      </c>
      <c r="G272" s="7" t="str">
        <f t="shared" si="27"/>
        <v xml:space="preserve">    [From Qty Before] = CONVERT(int,Column18),</v>
      </c>
      <c r="H272" s="22">
        <v>73</v>
      </c>
      <c r="I272" s="22">
        <v>71</v>
      </c>
      <c r="J272" s="22">
        <v>181</v>
      </c>
      <c r="K272" s="22">
        <v>179</v>
      </c>
      <c r="L272" s="22">
        <v>178</v>
      </c>
    </row>
    <row r="273" spans="1:12">
      <c r="A273" s="9" t="str">
        <f t="shared" si="28"/>
        <v>operator_event</v>
      </c>
      <c r="B273" s="16">
        <f t="shared" si="29"/>
        <v>1</v>
      </c>
      <c r="C273" s="16">
        <f t="shared" si="30"/>
        <v>19</v>
      </c>
      <c r="D273" s="16">
        <v>18</v>
      </c>
      <c r="E273" s="10" t="s">
        <v>213</v>
      </c>
      <c r="F273" s="23" t="s">
        <v>906</v>
      </c>
      <c r="G273" s="7" t="str">
        <f t="shared" si="27"/>
        <v xml:space="preserve">    [From Qty After] = CONVERT(int,Column19),</v>
      </c>
      <c r="H273" s="22">
        <v>71</v>
      </c>
      <c r="I273" s="22">
        <v>69</v>
      </c>
      <c r="J273" s="22">
        <v>179</v>
      </c>
      <c r="K273" s="22">
        <v>178</v>
      </c>
      <c r="L273" s="22">
        <v>176</v>
      </c>
    </row>
    <row r="274" spans="1:12">
      <c r="A274" s="9" t="str">
        <f t="shared" si="28"/>
        <v>operator_event</v>
      </c>
      <c r="B274" s="16">
        <f t="shared" si="29"/>
        <v>1</v>
      </c>
      <c r="C274" s="16">
        <f t="shared" si="30"/>
        <v>20</v>
      </c>
      <c r="D274" s="16">
        <v>19</v>
      </c>
      <c r="E274" s="10" t="s">
        <v>214</v>
      </c>
      <c r="F274" s="23" t="s">
        <v>904</v>
      </c>
      <c r="G274" s="7" t="str">
        <f t="shared" si="27"/>
        <v xml:space="preserve">    [To Qty Before] = CONVERT(smallint,Column20),</v>
      </c>
      <c r="H274" s="22">
        <v>0</v>
      </c>
      <c r="I274" s="22">
        <v>2</v>
      </c>
      <c r="J274" s="22">
        <v>0</v>
      </c>
      <c r="K274" s="22">
        <v>2</v>
      </c>
      <c r="L274" s="22">
        <v>3</v>
      </c>
    </row>
    <row r="275" spans="1:12">
      <c r="A275" s="9" t="str">
        <f t="shared" si="28"/>
        <v>operator_event</v>
      </c>
      <c r="B275" s="16">
        <f t="shared" si="29"/>
        <v>1</v>
      </c>
      <c r="C275" s="16">
        <f t="shared" si="30"/>
        <v>21</v>
      </c>
      <c r="D275" s="16">
        <v>20</v>
      </c>
      <c r="E275" s="10" t="s">
        <v>215</v>
      </c>
      <c r="F275" s="23" t="s">
        <v>907</v>
      </c>
      <c r="G275" s="7" t="str">
        <f t="shared" si="27"/>
        <v xml:space="preserve">    [To Qty After] = CONVERT(Int,Column21),</v>
      </c>
      <c r="H275" s="22">
        <v>2</v>
      </c>
      <c r="I275" s="22">
        <v>4</v>
      </c>
      <c r="J275" s="22">
        <v>2</v>
      </c>
      <c r="K275" s="22">
        <v>3</v>
      </c>
      <c r="L275" s="22">
        <v>5</v>
      </c>
    </row>
    <row r="276" spans="1:12">
      <c r="A276" s="9" t="str">
        <f t="shared" si="28"/>
        <v>operator_event</v>
      </c>
      <c r="B276" s="16">
        <f t="shared" si="29"/>
        <v>2</v>
      </c>
      <c r="C276" s="16">
        <f t="shared" si="30"/>
        <v>22</v>
      </c>
      <c r="D276" s="16">
        <v>21</v>
      </c>
      <c r="E276" s="7" t="s">
        <v>101</v>
      </c>
      <c r="F276" s="23" t="s">
        <v>908</v>
      </c>
      <c r="G276" s="7" t="str">
        <f t="shared" si="27"/>
        <v xml:space="preserve">    [Barcode] = CONVERT(varchar(5),Column22),</v>
      </c>
      <c r="H276" s="22" t="s">
        <v>53</v>
      </c>
      <c r="I276" s="22" t="s">
        <v>53</v>
      </c>
      <c r="J276" s="22" t="s">
        <v>53</v>
      </c>
      <c r="K276" s="22" t="s">
        <v>53</v>
      </c>
      <c r="L276" s="22" t="s">
        <v>53</v>
      </c>
    </row>
    <row r="277" spans="1:12">
      <c r="A277" s="9" t="str">
        <f t="shared" si="28"/>
        <v>operator_event</v>
      </c>
      <c r="B277" s="16">
        <f t="shared" si="29"/>
        <v>5</v>
      </c>
      <c r="C277" s="16">
        <f t="shared" si="30"/>
        <v>23</v>
      </c>
      <c r="D277" s="16">
        <v>22</v>
      </c>
      <c r="E277" s="7" t="s">
        <v>189</v>
      </c>
      <c r="F277" s="23" t="s">
        <v>908</v>
      </c>
      <c r="G277" s="7" t="str">
        <f t="shared" si="27"/>
        <v xml:space="preserve">    [Category] = CONVERT(varchar(5),Column23),</v>
      </c>
      <c r="H277" s="22" t="s">
        <v>379</v>
      </c>
      <c r="I277" s="22" t="s">
        <v>379</v>
      </c>
      <c r="J277" s="22" t="s">
        <v>379</v>
      </c>
      <c r="K277" s="22" t="s">
        <v>379</v>
      </c>
      <c r="L277" s="22" t="s">
        <v>379</v>
      </c>
    </row>
    <row r="278" spans="1:12">
      <c r="A278" s="9" t="str">
        <f t="shared" si="28"/>
        <v>operator_event</v>
      </c>
      <c r="C278" s="16">
        <v>0</v>
      </c>
      <c r="G278" s="7" t="str">
        <f>"FROM Kolding.["&amp;A278&amp;"]"</f>
        <v>FROM Kolding.[operator_event]</v>
      </c>
    </row>
    <row r="279" spans="1:12" ht="30" customHeight="1">
      <c r="A279" s="9" t="s">
        <v>1070</v>
      </c>
      <c r="B279" s="16">
        <f>COUNTIF(E:E,E279)</f>
        <v>0</v>
      </c>
      <c r="C279" s="16">
        <v>0</v>
      </c>
      <c r="E279" s="18"/>
      <c r="F279" s="23"/>
      <c r="G279" s="14" t="str">
        <f>"CREATE VIEW Kolding_LTS.["&amp;A279&amp;"] as select "</f>
        <v xml:space="preserve">CREATE VIEW Kolding_LTS.[params] as select </v>
      </c>
      <c r="H279" s="22"/>
      <c r="I279" s="22"/>
      <c r="J279" s="22"/>
      <c r="K279" s="22"/>
      <c r="L279" s="22"/>
    </row>
    <row r="280" spans="1:12">
      <c r="A280" s="9" t="str">
        <f>A279</f>
        <v>params</v>
      </c>
      <c r="B280" s="16">
        <f>COUNTIF(E:E,E280)</f>
        <v>1</v>
      </c>
      <c r="C280" s="16">
        <v>1</v>
      </c>
      <c r="D280" s="16">
        <v>0</v>
      </c>
      <c r="E280" s="18" t="s">
        <v>1129</v>
      </c>
      <c r="F280" s="23" t="s">
        <v>932</v>
      </c>
      <c r="G280" s="7" t="str">
        <f t="shared" si="27"/>
        <v xml:space="preserve">    [Parms] = CONVERT(varchar(40),Column1),</v>
      </c>
      <c r="H280" s="22" t="s">
        <v>973</v>
      </c>
      <c r="I280" s="22" t="s">
        <v>974</v>
      </c>
      <c r="J280" s="22" t="s">
        <v>975</v>
      </c>
      <c r="K280" s="22" t="s">
        <v>976</v>
      </c>
      <c r="L280" s="22" t="s">
        <v>977</v>
      </c>
    </row>
    <row r="281" spans="1:12">
      <c r="A281" s="9" t="str">
        <f>A280</f>
        <v>params</v>
      </c>
      <c r="B281" s="16">
        <f>COUNTIF(E:E,E281)</f>
        <v>3</v>
      </c>
      <c r="C281" s="16">
        <v>2</v>
      </c>
      <c r="D281" s="16">
        <v>1</v>
      </c>
      <c r="E281" s="18" t="s">
        <v>1130</v>
      </c>
      <c r="F281" s="23" t="s">
        <v>932</v>
      </c>
      <c r="G281" s="7" t="str">
        <f t="shared" si="27"/>
        <v xml:space="preserve">    [Value] = CONVERT(varchar(40),Column2),</v>
      </c>
      <c r="H281" s="22">
        <v>0</v>
      </c>
      <c r="I281" s="22">
        <v>1</v>
      </c>
      <c r="J281" s="22">
        <v>1</v>
      </c>
      <c r="K281" s="22">
        <v>3</v>
      </c>
      <c r="L281" s="22">
        <v>50</v>
      </c>
    </row>
    <row r="282" spans="1:12">
      <c r="A282" s="9" t="str">
        <f>A281</f>
        <v>params</v>
      </c>
      <c r="C282" s="16">
        <v>0</v>
      </c>
      <c r="G282" s="7" t="str">
        <f>"FROM Kolding.["&amp;A282&amp;"]"</f>
        <v>FROM Kolding.[params]</v>
      </c>
    </row>
    <row r="283" spans="1:12" ht="30" customHeight="1">
      <c r="A283" s="9" t="s">
        <v>1071</v>
      </c>
      <c r="B283" s="16">
        <f t="shared" ref="B283:B298" si="31">COUNTIF(E:E,E283)</f>
        <v>0</v>
      </c>
      <c r="E283" s="18"/>
      <c r="F283" s="23"/>
      <c r="G283" s="14" t="str">
        <f>"CREATE VIEW Kolding_LTS.["&amp;A283&amp;"] as select "</f>
        <v xml:space="preserve">CREATE VIEW Kolding_LTS.[partner_address] as select </v>
      </c>
      <c r="H283" s="22"/>
      <c r="I283" s="22"/>
      <c r="J283" s="22"/>
      <c r="K283" s="22"/>
      <c r="L283" s="22"/>
    </row>
    <row r="284" spans="1:12">
      <c r="A284" s="9" t="s">
        <v>1071</v>
      </c>
      <c r="B284" s="16">
        <f t="shared" si="31"/>
        <v>6</v>
      </c>
      <c r="C284" s="16">
        <v>1</v>
      </c>
      <c r="D284" s="16">
        <v>0</v>
      </c>
      <c r="E284" s="18" t="s">
        <v>207</v>
      </c>
      <c r="F284" s="23" t="s">
        <v>906</v>
      </c>
      <c r="G284" s="7" t="str">
        <f t="shared" si="27"/>
        <v xml:space="preserve">    [Order ID] = CONVERT(int,Column1),</v>
      </c>
      <c r="H284" s="22">
        <v>3296643</v>
      </c>
      <c r="I284" s="22">
        <v>3296643</v>
      </c>
      <c r="J284" s="22">
        <v>3296643</v>
      </c>
      <c r="K284" s="22">
        <v>3296644</v>
      </c>
      <c r="L284" s="22">
        <v>3296644</v>
      </c>
    </row>
    <row r="285" spans="1:12">
      <c r="A285" s="9" t="s">
        <v>1071</v>
      </c>
      <c r="B285" s="16">
        <f t="shared" si="31"/>
        <v>2</v>
      </c>
      <c r="C285" s="16">
        <v>2</v>
      </c>
      <c r="D285" s="16">
        <v>1</v>
      </c>
      <c r="E285" s="18" t="s">
        <v>1159</v>
      </c>
      <c r="F285" s="23" t="s">
        <v>946</v>
      </c>
      <c r="G285" s="7" t="str">
        <f t="shared" si="27"/>
        <v xml:space="preserve">    [Order SUB] = CONVERT(varchar(2),Column2),</v>
      </c>
      <c r="H285" s="22" t="s">
        <v>978</v>
      </c>
      <c r="I285" s="22" t="s">
        <v>979</v>
      </c>
      <c r="J285" s="22" t="s">
        <v>980</v>
      </c>
      <c r="K285" s="22" t="s">
        <v>978</v>
      </c>
      <c r="L285" s="22" t="s">
        <v>979</v>
      </c>
    </row>
    <row r="286" spans="1:12">
      <c r="A286" s="9" t="s">
        <v>1071</v>
      </c>
      <c r="B286" s="16">
        <f t="shared" si="31"/>
        <v>1</v>
      </c>
      <c r="C286" s="16">
        <v>3</v>
      </c>
      <c r="D286" s="16">
        <v>2</v>
      </c>
      <c r="E286" s="18" t="s">
        <v>1160</v>
      </c>
      <c r="F286" s="23" t="s">
        <v>932</v>
      </c>
      <c r="G286" s="7" t="str">
        <f t="shared" si="27"/>
        <v xml:space="preserve">    [CVR] = CONVERT(varchar(40),Column3),</v>
      </c>
      <c r="H286" s="22" t="s">
        <v>981</v>
      </c>
      <c r="I286" s="22">
        <v>2801</v>
      </c>
      <c r="J286" s="22" t="s">
        <v>982</v>
      </c>
      <c r="K286" s="22" t="s">
        <v>981</v>
      </c>
      <c r="L286" s="22">
        <v>5995</v>
      </c>
    </row>
    <row r="287" spans="1:12">
      <c r="A287" s="9" t="s">
        <v>1071</v>
      </c>
      <c r="B287" s="16">
        <f t="shared" si="31"/>
        <v>1</v>
      </c>
      <c r="C287" s="16">
        <v>4</v>
      </c>
      <c r="D287" s="16">
        <v>3</v>
      </c>
      <c r="E287" s="18" t="s">
        <v>1161</v>
      </c>
      <c r="F287" s="23" t="s">
        <v>932</v>
      </c>
      <c r="G287" s="7" t="str">
        <f t="shared" si="27"/>
        <v xml:space="preserve">    [Phone] = CONVERT(varchar(40),Column4),</v>
      </c>
      <c r="H287" s="22" t="s">
        <v>981</v>
      </c>
      <c r="I287" s="22">
        <v>70275727</v>
      </c>
      <c r="J287" s="22" t="s">
        <v>981</v>
      </c>
      <c r="K287" s="22" t="s">
        <v>981</v>
      </c>
      <c r="L287" s="22">
        <v>66612222</v>
      </c>
    </row>
    <row r="288" spans="1:12">
      <c r="A288" s="9" t="s">
        <v>1071</v>
      </c>
      <c r="B288" s="16">
        <f t="shared" si="31"/>
        <v>1</v>
      </c>
      <c r="C288" s="16">
        <v>5</v>
      </c>
      <c r="D288" s="16">
        <v>4</v>
      </c>
      <c r="E288" s="18" t="s">
        <v>1162</v>
      </c>
      <c r="F288" s="23" t="s">
        <v>932</v>
      </c>
      <c r="G288" s="7" t="str">
        <f t="shared" si="27"/>
        <v xml:space="preserve">    [Fax] = CONVERT(varchar(40),Column5),</v>
      </c>
      <c r="H288" s="22" t="s">
        <v>981</v>
      </c>
      <c r="I288" s="22">
        <v>33156669</v>
      </c>
      <c r="J288" s="22" t="s">
        <v>981</v>
      </c>
      <c r="K288" s="22" t="s">
        <v>981</v>
      </c>
      <c r="L288" s="22">
        <v>70107076</v>
      </c>
    </row>
    <row r="289" spans="1:12">
      <c r="A289" s="9" t="s">
        <v>1071</v>
      </c>
      <c r="B289" s="16">
        <f t="shared" si="31"/>
        <v>1</v>
      </c>
      <c r="C289" s="16">
        <v>6</v>
      </c>
      <c r="D289" s="16">
        <v>5</v>
      </c>
      <c r="E289" s="18" t="s">
        <v>1163</v>
      </c>
      <c r="F289" s="23" t="s">
        <v>932</v>
      </c>
      <c r="G289" s="7" t="str">
        <f t="shared" si="27"/>
        <v xml:space="preserve">    [Email] = CONVERT(varchar(40),Column6),</v>
      </c>
      <c r="H289" s="22" t="s">
        <v>981</v>
      </c>
      <c r="I289" s="22" t="s">
        <v>983</v>
      </c>
      <c r="J289" s="22" t="s">
        <v>981</v>
      </c>
      <c r="K289" s="22" t="s">
        <v>981</v>
      </c>
      <c r="L289" s="22" t="s">
        <v>981</v>
      </c>
    </row>
    <row r="290" spans="1:12">
      <c r="A290" s="9" t="s">
        <v>1071</v>
      </c>
      <c r="B290" s="16">
        <f t="shared" si="31"/>
        <v>2</v>
      </c>
      <c r="C290" s="16">
        <v>7</v>
      </c>
      <c r="D290" s="16">
        <v>6</v>
      </c>
      <c r="E290" s="18" t="s">
        <v>30</v>
      </c>
      <c r="F290" s="23" t="s">
        <v>932</v>
      </c>
      <c r="G290" s="7" t="str">
        <f t="shared" si="27"/>
        <v xml:space="preserve">    [Name 1] = CONVERT(varchar(40),Column7),</v>
      </c>
      <c r="H290" s="22" t="s">
        <v>981</v>
      </c>
      <c r="I290" s="22" t="s">
        <v>984</v>
      </c>
      <c r="J290" s="22" t="s">
        <v>985</v>
      </c>
      <c r="K290" s="22" t="s">
        <v>981</v>
      </c>
      <c r="L290" s="22" t="s">
        <v>986</v>
      </c>
    </row>
    <row r="291" spans="1:12">
      <c r="A291" s="9" t="s">
        <v>1071</v>
      </c>
      <c r="B291" s="16">
        <f t="shared" si="31"/>
        <v>2</v>
      </c>
      <c r="C291" s="16">
        <v>8</v>
      </c>
      <c r="D291" s="16">
        <v>7</v>
      </c>
      <c r="E291" s="18" t="s">
        <v>31</v>
      </c>
      <c r="F291" s="23" t="s">
        <v>932</v>
      </c>
      <c r="G291" s="7" t="str">
        <f t="shared" si="27"/>
        <v xml:space="preserve">    [Name 2] = CONVERT(varchar(40),Column8),</v>
      </c>
      <c r="H291" s="22" t="s">
        <v>981</v>
      </c>
      <c r="I291" s="22" t="s">
        <v>981</v>
      </c>
      <c r="J291" s="22" t="s">
        <v>981</v>
      </c>
      <c r="K291" s="22" t="s">
        <v>981</v>
      </c>
      <c r="L291" s="22" t="s">
        <v>981</v>
      </c>
    </row>
    <row r="292" spans="1:12">
      <c r="A292" s="9" t="s">
        <v>1071</v>
      </c>
      <c r="B292" s="16">
        <f t="shared" si="31"/>
        <v>1</v>
      </c>
      <c r="C292" s="16">
        <v>9</v>
      </c>
      <c r="D292" s="16">
        <v>8</v>
      </c>
      <c r="E292" s="18" t="s">
        <v>1164</v>
      </c>
      <c r="F292" s="23" t="s">
        <v>932</v>
      </c>
      <c r="G292" s="7" t="str">
        <f t="shared" si="27"/>
        <v xml:space="preserve">    [Name 3] = CONVERT(varchar(40),Column9),</v>
      </c>
      <c r="H292" s="22" t="s">
        <v>981</v>
      </c>
      <c r="I292" s="22" t="s">
        <v>981</v>
      </c>
      <c r="J292" s="22" t="s">
        <v>981</v>
      </c>
      <c r="K292" s="22" t="s">
        <v>981</v>
      </c>
      <c r="L292" s="22" t="s">
        <v>981</v>
      </c>
    </row>
    <row r="293" spans="1:12">
      <c r="A293" s="9" t="s">
        <v>1071</v>
      </c>
      <c r="B293" s="16">
        <f t="shared" si="31"/>
        <v>1</v>
      </c>
      <c r="C293" s="16">
        <v>10</v>
      </c>
      <c r="D293" s="16">
        <v>9</v>
      </c>
      <c r="E293" s="18" t="s">
        <v>1165</v>
      </c>
      <c r="F293" s="23" t="s">
        <v>932</v>
      </c>
      <c r="G293" s="7" t="str">
        <f t="shared" si="27"/>
        <v xml:space="preserve">    [Address 1] = CONVERT(varchar(40),Column10),</v>
      </c>
      <c r="H293" s="22" t="s">
        <v>981</v>
      </c>
      <c r="I293" s="22" t="s">
        <v>987</v>
      </c>
      <c r="J293" s="22" t="s">
        <v>988</v>
      </c>
      <c r="K293" s="22" t="s">
        <v>981</v>
      </c>
      <c r="L293" s="22" t="s">
        <v>989</v>
      </c>
    </row>
    <row r="294" spans="1:12">
      <c r="A294" s="9" t="s">
        <v>1071</v>
      </c>
      <c r="B294" s="16">
        <f t="shared" si="31"/>
        <v>1</v>
      </c>
      <c r="C294" s="16">
        <v>11</v>
      </c>
      <c r="D294" s="16">
        <v>10</v>
      </c>
      <c r="E294" s="18" t="s">
        <v>1166</v>
      </c>
      <c r="F294" s="23" t="s">
        <v>932</v>
      </c>
      <c r="G294" s="7" t="str">
        <f t="shared" si="27"/>
        <v xml:space="preserve">    [Address 2] = CONVERT(varchar(40),Column11),</v>
      </c>
      <c r="H294" s="22" t="s">
        <v>981</v>
      </c>
      <c r="I294" s="22" t="s">
        <v>981</v>
      </c>
      <c r="J294" s="22" t="s">
        <v>981</v>
      </c>
      <c r="K294" s="22" t="s">
        <v>981</v>
      </c>
      <c r="L294" s="22" t="s">
        <v>981</v>
      </c>
    </row>
    <row r="295" spans="1:12">
      <c r="A295" s="9" t="s">
        <v>1071</v>
      </c>
      <c r="B295" s="16">
        <f t="shared" si="31"/>
        <v>1</v>
      </c>
      <c r="C295" s="16">
        <v>12</v>
      </c>
      <c r="D295" s="16">
        <v>11</v>
      </c>
      <c r="E295" s="18" t="s">
        <v>1167</v>
      </c>
      <c r="F295" s="23" t="s">
        <v>928</v>
      </c>
      <c r="G295" s="7" t="str">
        <f t="shared" si="27"/>
        <v xml:space="preserve">    [Zip] = CONVERT(varchar(12),Column12),</v>
      </c>
      <c r="H295" s="22" t="s">
        <v>990</v>
      </c>
      <c r="I295" s="22">
        <v>2650</v>
      </c>
      <c r="J295" s="22">
        <v>6000</v>
      </c>
      <c r="K295" s="22" t="s">
        <v>990</v>
      </c>
      <c r="L295" s="22">
        <v>5220</v>
      </c>
    </row>
    <row r="296" spans="1:12">
      <c r="A296" s="9" t="s">
        <v>1071</v>
      </c>
      <c r="B296" s="16">
        <f t="shared" si="31"/>
        <v>1</v>
      </c>
      <c r="C296" s="16">
        <v>13</v>
      </c>
      <c r="D296" s="16">
        <v>12</v>
      </c>
      <c r="E296" s="18" t="s">
        <v>1168</v>
      </c>
      <c r="F296" s="23" t="s">
        <v>932</v>
      </c>
      <c r="G296" s="7" t="str">
        <f t="shared" si="27"/>
        <v xml:space="preserve">    [Town] = CONVERT(varchar(40),Column13),</v>
      </c>
      <c r="H296" s="22" t="s">
        <v>981</v>
      </c>
      <c r="I296" s="22" t="s">
        <v>991</v>
      </c>
      <c r="J296" s="22" t="s">
        <v>992</v>
      </c>
      <c r="K296" s="22" t="s">
        <v>981</v>
      </c>
      <c r="L296" s="22" t="s">
        <v>993</v>
      </c>
    </row>
    <row r="297" spans="1:12">
      <c r="A297" s="9" t="s">
        <v>1071</v>
      </c>
      <c r="B297" s="16">
        <f t="shared" si="31"/>
        <v>1</v>
      </c>
      <c r="C297" s="16">
        <v>14</v>
      </c>
      <c r="D297" s="16">
        <v>13</v>
      </c>
      <c r="E297" s="18" t="s">
        <v>1169</v>
      </c>
      <c r="F297" s="23" t="s">
        <v>946</v>
      </c>
      <c r="G297" s="7" t="str">
        <f t="shared" si="27"/>
        <v xml:space="preserve">    [Country] = CONVERT(varchar(2),Column14),</v>
      </c>
      <c r="H297" s="22" t="s">
        <v>994</v>
      </c>
      <c r="I297" s="22" t="s">
        <v>995</v>
      </c>
      <c r="J297" s="22" t="s">
        <v>995</v>
      </c>
      <c r="K297" s="22" t="s">
        <v>994</v>
      </c>
      <c r="L297" s="22" t="s">
        <v>995</v>
      </c>
    </row>
    <row r="298" spans="1:12">
      <c r="A298" s="9" t="s">
        <v>1071</v>
      </c>
      <c r="B298" s="16">
        <f t="shared" si="31"/>
        <v>2</v>
      </c>
      <c r="C298" s="16">
        <v>15</v>
      </c>
      <c r="D298" s="16">
        <v>14</v>
      </c>
      <c r="E298" s="18" t="s">
        <v>1145</v>
      </c>
      <c r="F298" s="23" t="s">
        <v>909</v>
      </c>
      <c r="G298" s="7" t="str">
        <f t="shared" si="27"/>
        <v xml:space="preserve">    [Column1] = CONVERT(varchar(20),Column15),</v>
      </c>
      <c r="H298" s="22" t="s">
        <v>996</v>
      </c>
      <c r="I298" s="22" t="s">
        <v>996</v>
      </c>
      <c r="J298" s="22" t="s">
        <v>996</v>
      </c>
      <c r="K298" s="22" t="s">
        <v>996</v>
      </c>
      <c r="L298" s="22" t="s">
        <v>996</v>
      </c>
    </row>
    <row r="299" spans="1:12">
      <c r="A299" s="9" t="str">
        <f>A298</f>
        <v>partner_address</v>
      </c>
      <c r="C299" s="16">
        <v>0</v>
      </c>
      <c r="G299" s="7" t="str">
        <f>"FROM Kolding.["&amp;A299&amp;"]"</f>
        <v>FROM Kolding.[partner_address]</v>
      </c>
    </row>
    <row r="300" spans="1:12" ht="30" customHeight="1">
      <c r="A300" s="9" t="s">
        <v>1072</v>
      </c>
      <c r="B300" s="16">
        <f t="shared" ref="B300:B310" si="32">COUNTIF(E:E,E300)</f>
        <v>0</v>
      </c>
      <c r="E300" s="18"/>
      <c r="F300" s="23"/>
      <c r="G300" s="14" t="str">
        <f>"CREATE VIEW Kolding_LTS.["&amp;A300&amp;"] as select "</f>
        <v xml:space="preserve">CREATE VIEW Kolding_LTS.[partner_info] as select </v>
      </c>
      <c r="H300" s="22"/>
      <c r="I300" s="22"/>
      <c r="J300" s="22"/>
      <c r="K300" s="22"/>
      <c r="L300" s="22"/>
    </row>
    <row r="301" spans="1:12">
      <c r="A301" s="9" t="str">
        <f>A300</f>
        <v>partner_info</v>
      </c>
      <c r="B301" s="16">
        <f t="shared" si="32"/>
        <v>6</v>
      </c>
      <c r="C301" s="16">
        <v>1</v>
      </c>
      <c r="E301" s="18" t="s">
        <v>207</v>
      </c>
      <c r="F301" s="23" t="s">
        <v>906</v>
      </c>
      <c r="G301" s="7" t="str">
        <f t="shared" si="27"/>
        <v xml:space="preserve">    [Order ID] = CONVERT(int,Column1),</v>
      </c>
      <c r="H301" s="22">
        <v>3296643</v>
      </c>
      <c r="I301" s="22">
        <v>3296644</v>
      </c>
      <c r="J301" s="22">
        <v>3296645</v>
      </c>
      <c r="K301" s="22">
        <v>3296646</v>
      </c>
      <c r="L301" s="22">
        <v>3335470</v>
      </c>
    </row>
    <row r="302" spans="1:12">
      <c r="A302" s="9" t="str">
        <f t="shared" ref="A302:A311" si="33">A301</f>
        <v>partner_info</v>
      </c>
      <c r="B302" s="16">
        <f t="shared" si="32"/>
        <v>2</v>
      </c>
      <c r="C302" s="16">
        <v>2</v>
      </c>
      <c r="E302" s="18" t="s">
        <v>1159</v>
      </c>
      <c r="F302" s="23" t="s">
        <v>946</v>
      </c>
      <c r="G302" s="7" t="str">
        <f t="shared" si="27"/>
        <v xml:space="preserve">    [Order SUB] = CONVERT(varchar(2),Column2),</v>
      </c>
      <c r="H302" s="22" t="s">
        <v>997</v>
      </c>
      <c r="I302" s="22" t="s">
        <v>997</v>
      </c>
      <c r="J302" s="22" t="s">
        <v>997</v>
      </c>
      <c r="K302" s="22" t="s">
        <v>997</v>
      </c>
      <c r="L302" s="22" t="s">
        <v>997</v>
      </c>
    </row>
    <row r="303" spans="1:12">
      <c r="A303" s="9" t="str">
        <f t="shared" si="33"/>
        <v>partner_info</v>
      </c>
      <c r="B303" s="16">
        <f t="shared" si="32"/>
        <v>5</v>
      </c>
      <c r="C303" s="16">
        <v>3</v>
      </c>
      <c r="E303" s="18" t="s">
        <v>40</v>
      </c>
      <c r="F303" s="23" t="s">
        <v>998</v>
      </c>
      <c r="G303" s="7" t="str">
        <f t="shared" si="27"/>
        <v xml:space="preserve">    [Order Number] = CONVERT(varchar(30),Column3),</v>
      </c>
      <c r="H303" s="22" t="s">
        <v>999</v>
      </c>
      <c r="I303" s="22" t="s">
        <v>999</v>
      </c>
      <c r="J303" s="22" t="s">
        <v>999</v>
      </c>
      <c r="K303" s="22" t="s">
        <v>999</v>
      </c>
      <c r="L303" s="22" t="s">
        <v>999</v>
      </c>
    </row>
    <row r="304" spans="1:12">
      <c r="A304" s="9" t="str">
        <f t="shared" si="33"/>
        <v>partner_info</v>
      </c>
      <c r="B304" s="16">
        <f t="shared" si="32"/>
        <v>1</v>
      </c>
      <c r="C304" s="16">
        <v>4</v>
      </c>
      <c r="E304" s="18" t="s">
        <v>1170</v>
      </c>
      <c r="F304" s="23" t="s">
        <v>998</v>
      </c>
      <c r="G304" s="7" t="str">
        <f t="shared" si="27"/>
        <v xml:space="preserve">    [Requistion] = CONVERT(varchar(30),Column4),</v>
      </c>
      <c r="H304" s="22" t="s">
        <v>999</v>
      </c>
      <c r="I304" s="22" t="s">
        <v>999</v>
      </c>
      <c r="J304" s="22" t="s">
        <v>999</v>
      </c>
      <c r="K304" s="22" t="s">
        <v>999</v>
      </c>
      <c r="L304" s="22" t="s">
        <v>999</v>
      </c>
    </row>
    <row r="305" spans="1:12">
      <c r="A305" s="9" t="str">
        <f t="shared" si="33"/>
        <v>partner_info</v>
      </c>
      <c r="B305" s="16">
        <f t="shared" si="32"/>
        <v>1</v>
      </c>
      <c r="C305" s="16">
        <v>5</v>
      </c>
      <c r="E305" s="18" t="s">
        <v>1171</v>
      </c>
      <c r="F305" s="23" t="s">
        <v>932</v>
      </c>
      <c r="G305" s="7" t="str">
        <f t="shared" si="27"/>
        <v xml:space="preserve">    [Contact Name] = CONVERT(varchar(40),Column5),</v>
      </c>
      <c r="H305" s="22" t="s">
        <v>981</v>
      </c>
      <c r="I305" s="22" t="s">
        <v>981</v>
      </c>
      <c r="J305" s="22" t="s">
        <v>981</v>
      </c>
      <c r="K305" s="22" t="s">
        <v>981</v>
      </c>
      <c r="L305" s="22" t="s">
        <v>981</v>
      </c>
    </row>
    <row r="306" spans="1:12">
      <c r="A306" s="9" t="str">
        <f t="shared" si="33"/>
        <v>partner_info</v>
      </c>
      <c r="B306" s="16">
        <f t="shared" si="32"/>
        <v>1</v>
      </c>
      <c r="C306" s="16">
        <v>6</v>
      </c>
      <c r="E306" s="18" t="s">
        <v>1172</v>
      </c>
      <c r="F306" s="23" t="s">
        <v>932</v>
      </c>
      <c r="G306" s="7" t="str">
        <f t="shared" ref="G306:G375" si="34">"    ["&amp;E306 &amp;"] = CONVERT("&amp;F306&amp;",Column" &amp;C306&amp;"),"</f>
        <v xml:space="preserve">    [Contact Number] = CONVERT(varchar(40),Column6),</v>
      </c>
      <c r="H306" s="22" t="s">
        <v>981</v>
      </c>
      <c r="I306" s="22" t="s">
        <v>981</v>
      </c>
      <c r="J306" s="22" t="s">
        <v>981</v>
      </c>
      <c r="K306" s="22" t="s">
        <v>981</v>
      </c>
      <c r="L306" s="22" t="s">
        <v>981</v>
      </c>
    </row>
    <row r="307" spans="1:12">
      <c r="A307" s="9" t="str">
        <f t="shared" si="33"/>
        <v>partner_info</v>
      </c>
      <c r="B307" s="16">
        <f t="shared" si="32"/>
        <v>1</v>
      </c>
      <c r="C307" s="16">
        <v>7</v>
      </c>
      <c r="E307" s="18" t="s">
        <v>1173</v>
      </c>
      <c r="F307" s="23" t="s">
        <v>998</v>
      </c>
      <c r="G307" s="7" t="str">
        <f t="shared" si="34"/>
        <v xml:space="preserve">    [Order Name] = CONVERT(varchar(30),Column7),</v>
      </c>
      <c r="H307" s="22" t="s">
        <v>1000</v>
      </c>
      <c r="I307" s="22" t="s">
        <v>1000</v>
      </c>
      <c r="J307" s="22" t="s">
        <v>1000</v>
      </c>
      <c r="K307" s="22" t="s">
        <v>1000</v>
      </c>
      <c r="L307" s="22" t="s">
        <v>1000</v>
      </c>
    </row>
    <row r="308" spans="1:12">
      <c r="A308" s="9" t="str">
        <f t="shared" si="33"/>
        <v>partner_info</v>
      </c>
      <c r="B308" s="16">
        <f t="shared" si="32"/>
        <v>1</v>
      </c>
      <c r="C308" s="16">
        <v>8</v>
      </c>
      <c r="E308" s="18" t="s">
        <v>1174</v>
      </c>
      <c r="F308" s="23" t="s">
        <v>998</v>
      </c>
      <c r="G308" s="7" t="str">
        <f t="shared" si="34"/>
        <v xml:space="preserve">    [Order Name 1] = CONVERT(varchar(30),Column8),</v>
      </c>
      <c r="H308" s="22"/>
      <c r="I308" s="22"/>
      <c r="J308" s="22"/>
      <c r="K308" s="22"/>
      <c r="L308" s="22"/>
    </row>
    <row r="309" spans="1:12">
      <c r="A309" s="9" t="str">
        <f t="shared" si="33"/>
        <v>partner_info</v>
      </c>
      <c r="B309" s="16">
        <f t="shared" si="32"/>
        <v>1</v>
      </c>
      <c r="C309" s="16">
        <v>9</v>
      </c>
      <c r="E309" s="18" t="s">
        <v>1175</v>
      </c>
      <c r="F309" s="23" t="s">
        <v>932</v>
      </c>
      <c r="G309" s="7" t="str">
        <f t="shared" si="34"/>
        <v xml:space="preserve">    [Order Name 2] = CONVERT(varchar(40),Column9),</v>
      </c>
      <c r="H309" s="22"/>
      <c r="I309" s="22"/>
      <c r="J309" s="22"/>
      <c r="K309" s="22"/>
      <c r="L309" s="22"/>
    </row>
    <row r="310" spans="1:12">
      <c r="A310" s="9" t="str">
        <f t="shared" si="33"/>
        <v>partner_info</v>
      </c>
      <c r="B310" s="16">
        <f t="shared" si="32"/>
        <v>1</v>
      </c>
      <c r="C310" s="16">
        <v>10</v>
      </c>
      <c r="E310" s="18" t="s">
        <v>1180</v>
      </c>
      <c r="F310" s="23" t="s">
        <v>998</v>
      </c>
      <c r="G310" s="7" t="str">
        <f t="shared" si="34"/>
        <v xml:space="preserve">    [Order Name 3] = CONVERT(varchar(30),Column10),</v>
      </c>
      <c r="H310" s="22"/>
      <c r="I310" s="22"/>
      <c r="J310" s="22"/>
      <c r="K310" s="22"/>
      <c r="L310" s="22"/>
    </row>
    <row r="311" spans="1:12">
      <c r="A311" s="9" t="str">
        <f t="shared" si="33"/>
        <v>partner_info</v>
      </c>
      <c r="C311" s="16">
        <v>0</v>
      </c>
      <c r="G311" s="7" t="str">
        <f>"FROM Kolding.["&amp;A311&amp;"]"</f>
        <v>FROM Kolding.[partner_info]</v>
      </c>
    </row>
    <row r="312" spans="1:12" ht="30" customHeight="1">
      <c r="A312" s="9" t="s">
        <v>1073</v>
      </c>
      <c r="B312" s="16">
        <f t="shared" ref="B312:B317" si="35">COUNTIF(E:E,E312)</f>
        <v>0</v>
      </c>
      <c r="E312" s="7"/>
      <c r="F312" s="23"/>
      <c r="G312" s="14" t="str">
        <f>"CREATE VIEW Kolding_LTS.["&amp;A312&amp;"] as select "</f>
        <v xml:space="preserve">CREATE VIEW Kolding_LTS.[pick_category] as select </v>
      </c>
      <c r="H312" s="22"/>
      <c r="I312" s="22"/>
      <c r="J312" s="22"/>
      <c r="K312" s="22"/>
      <c r="L312" s="22"/>
    </row>
    <row r="313" spans="1:12">
      <c r="A313" s="9" t="str">
        <f t="shared" ref="A313:A318" si="36">A312</f>
        <v>pick_category</v>
      </c>
      <c r="B313" s="16">
        <f t="shared" si="35"/>
        <v>1</v>
      </c>
      <c r="C313" s="16">
        <v>1</v>
      </c>
      <c r="E313" s="18" t="s">
        <v>1131</v>
      </c>
      <c r="F313" s="23" t="s">
        <v>904</v>
      </c>
      <c r="G313" s="7" t="str">
        <f t="shared" si="34"/>
        <v xml:space="preserve">    [Func] = CONVERT(smallint,Column1),</v>
      </c>
      <c r="H313" s="22">
        <v>6</v>
      </c>
      <c r="I313" s="22">
        <v>7</v>
      </c>
      <c r="J313" s="22">
        <v>7</v>
      </c>
      <c r="K313" s="22">
        <v>7</v>
      </c>
      <c r="L313" s="22">
        <v>7</v>
      </c>
    </row>
    <row r="314" spans="1:12">
      <c r="A314" s="9" t="str">
        <f t="shared" si="36"/>
        <v>pick_category</v>
      </c>
      <c r="B314" s="16">
        <f t="shared" si="35"/>
        <v>9</v>
      </c>
      <c r="C314" s="16">
        <v>2</v>
      </c>
      <c r="E314" s="18" t="s">
        <v>163</v>
      </c>
      <c r="F314" s="23" t="s">
        <v>908</v>
      </c>
      <c r="G314" s="7" t="str">
        <f t="shared" si="34"/>
        <v xml:space="preserve">    [Type] = CONVERT(varchar(5),Column2),</v>
      </c>
      <c r="H314" s="22" t="s">
        <v>1001</v>
      </c>
      <c r="I314" s="22" t="s">
        <v>1002</v>
      </c>
      <c r="J314" s="22" t="s">
        <v>1003</v>
      </c>
      <c r="K314" s="22" t="s">
        <v>1004</v>
      </c>
      <c r="L314" s="22" t="s">
        <v>379</v>
      </c>
    </row>
    <row r="315" spans="1:12">
      <c r="A315" s="9" t="str">
        <f t="shared" si="36"/>
        <v>pick_category</v>
      </c>
      <c r="B315" s="16">
        <f t="shared" si="35"/>
        <v>3</v>
      </c>
      <c r="C315" s="16">
        <v>3</v>
      </c>
      <c r="E315" s="18" t="s">
        <v>1096</v>
      </c>
      <c r="F315" s="23" t="s">
        <v>968</v>
      </c>
      <c r="G315" s="7" t="str">
        <f t="shared" si="34"/>
        <v xml:space="preserve">    [Handling] = CONVERT(varchar(32),Column3),</v>
      </c>
      <c r="H315" s="22" t="s">
        <v>1005</v>
      </c>
      <c r="I315" s="22" t="s">
        <v>1005</v>
      </c>
      <c r="J315" s="22" t="s">
        <v>1006</v>
      </c>
      <c r="K315" s="22" t="s">
        <v>1007</v>
      </c>
      <c r="L315" s="22" t="s">
        <v>969</v>
      </c>
    </row>
    <row r="316" spans="1:12">
      <c r="A316" s="9" t="str">
        <f t="shared" si="36"/>
        <v>pick_category</v>
      </c>
      <c r="B316" s="16">
        <f t="shared" si="35"/>
        <v>1</v>
      </c>
      <c r="C316" s="16">
        <v>4</v>
      </c>
      <c r="E316" s="18" t="s">
        <v>1132</v>
      </c>
      <c r="F316" s="23" t="s">
        <v>908</v>
      </c>
      <c r="G316" s="7" t="str">
        <f t="shared" si="34"/>
        <v xml:space="preserve">    [Parm X] = CONVERT(varchar(5),Column4),</v>
      </c>
      <c r="H316" s="22" t="s">
        <v>966</v>
      </c>
      <c r="I316" s="22" t="s">
        <v>966</v>
      </c>
      <c r="J316" s="22" t="s">
        <v>966</v>
      </c>
      <c r="K316" s="22" t="s">
        <v>966</v>
      </c>
      <c r="L316" s="22" t="s">
        <v>966</v>
      </c>
    </row>
    <row r="317" spans="1:12">
      <c r="A317" s="9" t="str">
        <f t="shared" si="36"/>
        <v>pick_category</v>
      </c>
      <c r="B317" s="16">
        <f t="shared" si="35"/>
        <v>3</v>
      </c>
      <c r="C317" s="16">
        <v>5</v>
      </c>
      <c r="E317" s="18" t="s">
        <v>1130</v>
      </c>
      <c r="F317" s="23" t="s">
        <v>904</v>
      </c>
      <c r="G317" s="7" t="str">
        <f t="shared" si="34"/>
        <v xml:space="preserve">    [Value] = CONVERT(smallint,Column5),</v>
      </c>
      <c r="H317" s="22">
        <v>0</v>
      </c>
      <c r="I317" s="22">
        <v>0</v>
      </c>
      <c r="J317" s="22">
        <v>0</v>
      </c>
      <c r="K317" s="22">
        <v>0</v>
      </c>
      <c r="L317" s="22">
        <v>3</v>
      </c>
    </row>
    <row r="318" spans="1:12">
      <c r="A318" s="9" t="str">
        <f t="shared" si="36"/>
        <v>pick_category</v>
      </c>
      <c r="C318" s="16">
        <v>0</v>
      </c>
      <c r="G318" s="7" t="str">
        <f>"FROM Kolding.["&amp;A318&amp;"]"</f>
        <v>FROM Kolding.[pick_category]</v>
      </c>
    </row>
    <row r="319" spans="1:12" ht="30" customHeight="1">
      <c r="A319" s="9" t="s">
        <v>1074</v>
      </c>
      <c r="B319" s="16">
        <f t="shared" ref="B319:B325" si="37">COUNTIF(E:E,E319)</f>
        <v>0</v>
      </c>
      <c r="C319" s="16">
        <f>IF(A319=A277,C277+1,0)</f>
        <v>0</v>
      </c>
      <c r="E319" s="6"/>
      <c r="F319" s="23"/>
      <c r="G319" s="14" t="str">
        <f>"CREATE VIEW Kolding_LTS.["&amp;A319&amp;"] as select "</f>
        <v xml:space="preserve">CREATE VIEW Kolding_LTS.[pick_count] as select </v>
      </c>
    </row>
    <row r="320" spans="1:12">
      <c r="A320" s="9" t="str">
        <f t="shared" si="28"/>
        <v>pick_count</v>
      </c>
      <c r="B320" s="16">
        <f t="shared" si="37"/>
        <v>8</v>
      </c>
      <c r="C320" s="16">
        <f t="shared" ref="C320:C325" si="38">IF(A320=A319,C319+1,0)</f>
        <v>1</v>
      </c>
      <c r="D320" s="16">
        <v>0</v>
      </c>
      <c r="E320" s="7" t="s">
        <v>96</v>
      </c>
      <c r="F320" s="23" t="str">
        <f>"varchar("&amp;LEN(H320)&amp;")"</f>
        <v>varchar(8)</v>
      </c>
      <c r="G320" s="7" t="str">
        <f t="shared" si="34"/>
        <v xml:space="preserve">    [Client Code] = CONVERT(varchar(8),Column1),</v>
      </c>
      <c r="H320" s="22" t="s">
        <v>256</v>
      </c>
      <c r="I320" s="22" t="s">
        <v>256</v>
      </c>
      <c r="J320" s="22" t="s">
        <v>256</v>
      </c>
      <c r="K320" s="22" t="s">
        <v>256</v>
      </c>
      <c r="L320" s="22" t="s">
        <v>256</v>
      </c>
    </row>
    <row r="321" spans="1:12">
      <c r="A321" s="9" t="str">
        <f t="shared" si="28"/>
        <v>pick_count</v>
      </c>
      <c r="B321" s="16">
        <f t="shared" si="37"/>
        <v>10</v>
      </c>
      <c r="C321" s="16">
        <f t="shared" si="38"/>
        <v>2</v>
      </c>
      <c r="D321" s="16">
        <v>1</v>
      </c>
      <c r="E321" s="7" t="s">
        <v>95</v>
      </c>
      <c r="F321" s="23" t="str">
        <f>"varchar("&amp;LEN(H321)&amp;")"</f>
        <v>varchar(9)</v>
      </c>
      <c r="G321" s="7" t="str">
        <f t="shared" si="34"/>
        <v xml:space="preserve">    [Item Code] = CONVERT(varchar(9),Column2),</v>
      </c>
      <c r="H321" s="22" t="s">
        <v>254</v>
      </c>
      <c r="I321" s="22" t="s">
        <v>255</v>
      </c>
      <c r="J321" s="22" t="s">
        <v>262</v>
      </c>
      <c r="K321" s="22" t="s">
        <v>263</v>
      </c>
      <c r="L321" s="22" t="s">
        <v>264</v>
      </c>
    </row>
    <row r="322" spans="1:12">
      <c r="A322" s="9" t="str">
        <f t="shared" si="28"/>
        <v>pick_count</v>
      </c>
      <c r="B322" s="16">
        <f t="shared" si="37"/>
        <v>1</v>
      </c>
      <c r="C322" s="16">
        <f t="shared" si="38"/>
        <v>3</v>
      </c>
      <c r="D322" s="16">
        <v>2</v>
      </c>
      <c r="E322" s="10" t="s">
        <v>382</v>
      </c>
      <c r="F322" s="23" t="s">
        <v>929</v>
      </c>
      <c r="G322" s="7" t="str">
        <f t="shared" si="34"/>
        <v xml:space="preserve">    [Last Update Time] = CONVERT(datetime,Column3),</v>
      </c>
      <c r="H322" s="22" t="s">
        <v>383</v>
      </c>
      <c r="I322" s="22" t="s">
        <v>384</v>
      </c>
      <c r="J322" s="22" t="s">
        <v>385</v>
      </c>
      <c r="K322" s="22" t="s">
        <v>386</v>
      </c>
      <c r="L322" s="22" t="s">
        <v>387</v>
      </c>
    </row>
    <row r="323" spans="1:12">
      <c r="A323" s="9" t="str">
        <f t="shared" si="28"/>
        <v>pick_count</v>
      </c>
      <c r="B323" s="16">
        <f t="shared" si="37"/>
        <v>1</v>
      </c>
      <c r="C323" s="16">
        <f t="shared" si="38"/>
        <v>4</v>
      </c>
      <c r="D323" s="16">
        <v>3</v>
      </c>
      <c r="E323" s="10" t="s">
        <v>388</v>
      </c>
      <c r="F323" s="23" t="s">
        <v>904</v>
      </c>
      <c r="G323" s="7" t="str">
        <f t="shared" si="34"/>
        <v xml:space="preserve">    [Month1] = CONVERT(smallint,Column4),</v>
      </c>
      <c r="H323" s="22">
        <v>1</v>
      </c>
      <c r="I323" s="22">
        <v>6</v>
      </c>
      <c r="J323" s="22">
        <v>0</v>
      </c>
      <c r="K323" s="22">
        <v>0</v>
      </c>
      <c r="L323" s="22">
        <v>0</v>
      </c>
    </row>
    <row r="324" spans="1:12">
      <c r="A324" s="9" t="str">
        <f t="shared" si="28"/>
        <v>pick_count</v>
      </c>
      <c r="B324" s="16">
        <f t="shared" si="37"/>
        <v>1</v>
      </c>
      <c r="C324" s="16">
        <f t="shared" si="38"/>
        <v>5</v>
      </c>
      <c r="D324" s="16">
        <v>4</v>
      </c>
      <c r="E324" s="10" t="s">
        <v>389</v>
      </c>
      <c r="F324" s="23" t="s">
        <v>904</v>
      </c>
      <c r="G324" s="7" t="str">
        <f t="shared" si="34"/>
        <v xml:space="preserve">    [Month2] = CONVERT(smallint,Column5),</v>
      </c>
      <c r="H324" s="22">
        <v>7</v>
      </c>
      <c r="I324" s="22">
        <v>18</v>
      </c>
      <c r="J324" s="22">
        <v>0</v>
      </c>
      <c r="K324" s="22">
        <v>3</v>
      </c>
      <c r="L324" s="22">
        <v>0</v>
      </c>
    </row>
    <row r="325" spans="1:12">
      <c r="A325" s="9" t="str">
        <f t="shared" si="28"/>
        <v>pick_count</v>
      </c>
      <c r="B325" s="16">
        <f t="shared" si="37"/>
        <v>1</v>
      </c>
      <c r="C325" s="16">
        <f t="shared" si="38"/>
        <v>6</v>
      </c>
      <c r="D325" s="16">
        <v>5</v>
      </c>
      <c r="E325" s="10" t="s">
        <v>390</v>
      </c>
      <c r="F325" s="23" t="s">
        <v>904</v>
      </c>
      <c r="G325" s="7" t="str">
        <f t="shared" si="34"/>
        <v xml:space="preserve">    [Month3] = CONVERT(smallint,Column6),</v>
      </c>
      <c r="H325" s="22">
        <v>2</v>
      </c>
      <c r="I325" s="22">
        <v>17</v>
      </c>
      <c r="J325" s="22">
        <v>3</v>
      </c>
      <c r="K325" s="22">
        <v>0</v>
      </c>
      <c r="L325" s="22">
        <v>0</v>
      </c>
    </row>
    <row r="326" spans="1:12">
      <c r="A326" s="9" t="str">
        <f t="shared" si="28"/>
        <v>pick_count</v>
      </c>
      <c r="C326" s="16">
        <v>0</v>
      </c>
      <c r="G326" s="7" t="str">
        <f>"FROM Kolding.["&amp;A326&amp;"]"</f>
        <v>FROM Kolding.[pick_count]</v>
      </c>
    </row>
    <row r="327" spans="1:12" ht="30" customHeight="1">
      <c r="A327" s="9" t="s">
        <v>1075</v>
      </c>
      <c r="B327" s="16">
        <f t="shared" ref="B327:B344" si="39">COUNTIF(E:E,E327)</f>
        <v>0</v>
      </c>
      <c r="C327" s="16">
        <f>IF(A327=A325,C325+1,0)</f>
        <v>0</v>
      </c>
      <c r="E327" s="6"/>
      <c r="F327" s="23"/>
      <c r="G327" s="14" t="str">
        <f>"CREATE VIEW Kolding_LTS.["&amp;A327&amp;"] as select "</f>
        <v xml:space="preserve">CREATE VIEW Kolding_LTS.[pick_req] as select </v>
      </c>
    </row>
    <row r="328" spans="1:12">
      <c r="A328" s="9" t="str">
        <f t="shared" si="28"/>
        <v>pick_req</v>
      </c>
      <c r="B328" s="16">
        <f t="shared" si="39"/>
        <v>6</v>
      </c>
      <c r="C328" s="16">
        <f t="shared" ref="C328:C344" si="40">IF(A328=A327,C327+1,0)</f>
        <v>1</v>
      </c>
      <c r="D328" s="16">
        <v>0</v>
      </c>
      <c r="E328" s="7" t="s">
        <v>208</v>
      </c>
      <c r="F328" s="23" t="s">
        <v>906</v>
      </c>
      <c r="G328" s="7" t="str">
        <f t="shared" si="34"/>
        <v xml:space="preserve">    [Alloc Ref] = CONVERT(int,Column1),</v>
      </c>
      <c r="H328" s="22" t="s">
        <v>392</v>
      </c>
      <c r="I328" s="22" t="s">
        <v>393</v>
      </c>
      <c r="J328" s="22" t="s">
        <v>394</v>
      </c>
      <c r="K328" s="22" t="s">
        <v>395</v>
      </c>
      <c r="L328" s="22" t="s">
        <v>396</v>
      </c>
    </row>
    <row r="329" spans="1:12">
      <c r="A329" s="9" t="str">
        <f t="shared" si="28"/>
        <v>pick_req</v>
      </c>
      <c r="B329" s="16">
        <f t="shared" si="39"/>
        <v>3</v>
      </c>
      <c r="C329" s="16">
        <f t="shared" si="40"/>
        <v>2</v>
      </c>
      <c r="D329" s="16">
        <v>1</v>
      </c>
      <c r="E329" s="7" t="s">
        <v>24</v>
      </c>
      <c r="F329" s="23" t="s">
        <v>906</v>
      </c>
      <c r="G329" s="7" t="str">
        <f t="shared" si="34"/>
        <v xml:space="preserve">    [Pick Group] = CONVERT(int,Column2),</v>
      </c>
      <c r="H329" s="22">
        <v>911177121</v>
      </c>
      <c r="I329" s="22">
        <v>911177236</v>
      </c>
      <c r="J329" s="22">
        <v>911177223</v>
      </c>
      <c r="K329" s="22">
        <v>911176376</v>
      </c>
      <c r="L329" s="22">
        <v>614564407</v>
      </c>
    </row>
    <row r="330" spans="1:12">
      <c r="A330" s="9" t="str">
        <f t="shared" si="28"/>
        <v>pick_req</v>
      </c>
      <c r="B330" s="16">
        <f t="shared" si="39"/>
        <v>1</v>
      </c>
      <c r="C330" s="16">
        <f t="shared" si="40"/>
        <v>3</v>
      </c>
      <c r="D330" s="16">
        <v>2</v>
      </c>
      <c r="E330" s="10" t="s">
        <v>400</v>
      </c>
      <c r="F330" s="23" t="s">
        <v>904</v>
      </c>
      <c r="G330" s="7" t="str">
        <f t="shared" si="34"/>
        <v xml:space="preserve">    [Sub Group] = CONVERT(smallint,Column3),</v>
      </c>
      <c r="H330" s="22">
        <v>3</v>
      </c>
      <c r="I330" s="22">
        <v>2</v>
      </c>
      <c r="J330" s="22">
        <v>2</v>
      </c>
      <c r="K330" s="22">
        <v>2</v>
      </c>
      <c r="L330" s="22">
        <v>2</v>
      </c>
    </row>
    <row r="331" spans="1:12">
      <c r="A331" s="9" t="str">
        <f t="shared" si="28"/>
        <v>pick_req</v>
      </c>
      <c r="B331" s="16">
        <f t="shared" si="39"/>
        <v>6</v>
      </c>
      <c r="C331" s="16">
        <f t="shared" si="40"/>
        <v>4</v>
      </c>
      <c r="D331" s="16">
        <v>3</v>
      </c>
      <c r="E331" s="7" t="s">
        <v>188</v>
      </c>
      <c r="F331" s="23" t="s">
        <v>904</v>
      </c>
      <c r="G331" s="7" t="str">
        <f t="shared" si="34"/>
        <v xml:space="preserve">    [Stage] = CONVERT(smallint,Column4),</v>
      </c>
      <c r="H331" s="22">
        <v>61</v>
      </c>
      <c r="I331" s="22">
        <v>61</v>
      </c>
      <c r="J331" s="22">
        <v>61</v>
      </c>
      <c r="K331" s="22">
        <v>61</v>
      </c>
      <c r="L331" s="22">
        <v>61</v>
      </c>
    </row>
    <row r="332" spans="1:12">
      <c r="A332" s="9" t="str">
        <f t="shared" si="28"/>
        <v>pick_req</v>
      </c>
      <c r="B332" s="16">
        <f t="shared" si="39"/>
        <v>4</v>
      </c>
      <c r="C332" s="16">
        <f t="shared" si="40"/>
        <v>5</v>
      </c>
      <c r="D332" s="16">
        <v>4</v>
      </c>
      <c r="E332" s="7" t="s">
        <v>180</v>
      </c>
      <c r="F332" s="23" t="s">
        <v>928</v>
      </c>
      <c r="G332" s="7" t="str">
        <f t="shared" si="34"/>
        <v xml:space="preserve">    [MHE] = CONVERT(varchar(12),Column5),</v>
      </c>
      <c r="H332" s="22" t="s">
        <v>401</v>
      </c>
      <c r="I332" s="22" t="s">
        <v>401</v>
      </c>
      <c r="J332" s="22" t="s">
        <v>401</v>
      </c>
      <c r="K332" s="22" t="s">
        <v>401</v>
      </c>
      <c r="L332" s="22" t="s">
        <v>401</v>
      </c>
    </row>
    <row r="333" spans="1:12">
      <c r="A333" s="9" t="str">
        <f t="shared" si="28"/>
        <v>pick_req</v>
      </c>
      <c r="B333" s="16">
        <f t="shared" si="39"/>
        <v>2</v>
      </c>
      <c r="C333" s="16">
        <f t="shared" si="40"/>
        <v>6</v>
      </c>
      <c r="D333" s="16">
        <v>5</v>
      </c>
      <c r="E333" s="7" t="s">
        <v>402</v>
      </c>
      <c r="F333" s="23" t="s">
        <v>904</v>
      </c>
      <c r="G333" s="7" t="str">
        <f t="shared" si="34"/>
        <v xml:space="preserve">    [Sequence No] = CONVERT(smallint,Column6),</v>
      </c>
      <c r="H333" s="22">
        <v>1</v>
      </c>
      <c r="I333" s="22">
        <v>1</v>
      </c>
      <c r="J333" s="22">
        <v>5</v>
      </c>
      <c r="K333" s="22">
        <v>2</v>
      </c>
      <c r="L333" s="22">
        <v>2</v>
      </c>
    </row>
    <row r="334" spans="1:12">
      <c r="A334" s="9" t="str">
        <f t="shared" si="28"/>
        <v>pick_req</v>
      </c>
      <c r="B334" s="16">
        <f t="shared" si="39"/>
        <v>5</v>
      </c>
      <c r="C334" s="16">
        <f t="shared" si="40"/>
        <v>7</v>
      </c>
      <c r="D334" s="16">
        <v>6</v>
      </c>
      <c r="E334" s="7" t="s">
        <v>9</v>
      </c>
      <c r="F334" s="23" t="s">
        <v>909</v>
      </c>
      <c r="G334" s="7" t="str">
        <f t="shared" si="34"/>
        <v xml:space="preserve">    [Container Id] = CONVERT(varchar(20),Column7),</v>
      </c>
      <c r="H334" s="22" t="s">
        <v>403</v>
      </c>
      <c r="I334" s="22" t="s">
        <v>404</v>
      </c>
      <c r="J334" s="22" t="s">
        <v>405</v>
      </c>
      <c r="K334" s="22" t="s">
        <v>406</v>
      </c>
      <c r="L334" s="22" t="s">
        <v>407</v>
      </c>
    </row>
    <row r="335" spans="1:12">
      <c r="A335" s="9" t="str">
        <f t="shared" si="28"/>
        <v>pick_req</v>
      </c>
      <c r="B335" s="16">
        <f t="shared" si="39"/>
        <v>1</v>
      </c>
      <c r="C335" s="16">
        <f t="shared" si="40"/>
        <v>8</v>
      </c>
      <c r="D335" s="16">
        <v>7</v>
      </c>
      <c r="E335" s="10" t="s">
        <v>411</v>
      </c>
      <c r="F335" s="23" t="s">
        <v>904</v>
      </c>
      <c r="G335" s="7" t="str">
        <f t="shared" si="34"/>
        <v xml:space="preserve">    [Build Order] = CONVERT(smallint,Column8),</v>
      </c>
      <c r="H335" s="22">
        <v>1</v>
      </c>
      <c r="I335" s="22">
        <v>1</v>
      </c>
      <c r="J335" s="22">
        <v>1</v>
      </c>
      <c r="K335" s="22">
        <v>1</v>
      </c>
      <c r="L335" s="22">
        <v>1</v>
      </c>
    </row>
    <row r="336" spans="1:12">
      <c r="A336" s="9" t="str">
        <f t="shared" si="28"/>
        <v>pick_req</v>
      </c>
      <c r="B336" s="16">
        <f t="shared" si="39"/>
        <v>2</v>
      </c>
      <c r="C336" s="16">
        <f t="shared" si="40"/>
        <v>9</v>
      </c>
      <c r="D336" s="16">
        <v>8</v>
      </c>
      <c r="E336" s="7" t="s">
        <v>412</v>
      </c>
      <c r="F336" s="23" t="s">
        <v>929</v>
      </c>
      <c r="G336" s="7" t="str">
        <f t="shared" si="34"/>
        <v xml:space="preserve">    [Creation Time] = CONVERT(datetime,Column9),</v>
      </c>
      <c r="H336" s="22" t="s">
        <v>413</v>
      </c>
      <c r="I336" s="22" t="s">
        <v>414</v>
      </c>
      <c r="J336" s="22" t="s">
        <v>415</v>
      </c>
      <c r="K336" s="22" t="s">
        <v>416</v>
      </c>
      <c r="L336" s="22" t="s">
        <v>417</v>
      </c>
    </row>
    <row r="337" spans="1:12">
      <c r="A337" s="9" t="str">
        <f t="shared" si="28"/>
        <v>pick_req</v>
      </c>
      <c r="B337" s="16">
        <f t="shared" si="39"/>
        <v>7</v>
      </c>
      <c r="C337" s="16">
        <f t="shared" si="40"/>
        <v>10</v>
      </c>
      <c r="D337" s="16">
        <v>9</v>
      </c>
      <c r="E337" s="7" t="s">
        <v>185</v>
      </c>
      <c r="F337" s="23" t="s">
        <v>904</v>
      </c>
      <c r="G337" s="7" t="str">
        <f t="shared" si="34"/>
        <v xml:space="preserve">    [Priority] = CONVERT(smallint,Column10),</v>
      </c>
      <c r="H337" s="22">
        <v>10</v>
      </c>
      <c r="I337" s="22">
        <v>50</v>
      </c>
      <c r="J337" s="22">
        <v>50</v>
      </c>
      <c r="K337" s="22">
        <v>50</v>
      </c>
      <c r="L337" s="22">
        <v>51</v>
      </c>
    </row>
    <row r="338" spans="1:12">
      <c r="A338" s="9" t="str">
        <f t="shared" si="28"/>
        <v>pick_req</v>
      </c>
      <c r="B338" s="16">
        <f t="shared" si="39"/>
        <v>2</v>
      </c>
      <c r="C338" s="16">
        <f t="shared" si="40"/>
        <v>11</v>
      </c>
      <c r="D338" s="16">
        <v>10</v>
      </c>
      <c r="E338" s="7" t="s">
        <v>420</v>
      </c>
      <c r="F338" s="23" t="s">
        <v>909</v>
      </c>
      <c r="G338" s="7" t="str">
        <f t="shared" si="34"/>
        <v xml:space="preserve">    [Dest Container] = CONVERT(varchar(20),Column11),</v>
      </c>
      <c r="H338" s="22" t="s">
        <v>53</v>
      </c>
      <c r="I338" s="22" t="s">
        <v>53</v>
      </c>
      <c r="J338" s="22" t="s">
        <v>53</v>
      </c>
      <c r="K338" s="22" t="s">
        <v>53</v>
      </c>
      <c r="L338" s="22" t="s">
        <v>53</v>
      </c>
    </row>
    <row r="339" spans="1:12">
      <c r="A339" s="9" t="str">
        <f t="shared" si="28"/>
        <v>pick_req</v>
      </c>
      <c r="B339" s="16">
        <f t="shared" si="39"/>
        <v>1</v>
      </c>
      <c r="C339" s="16">
        <f t="shared" si="40"/>
        <v>12</v>
      </c>
      <c r="D339" s="16">
        <v>11</v>
      </c>
      <c r="E339" s="10" t="s">
        <v>421</v>
      </c>
      <c r="F339" s="23" t="s">
        <v>904</v>
      </c>
      <c r="G339" s="7" t="str">
        <f t="shared" si="34"/>
        <v xml:space="preserve">    [Orig Source Zone] = CONVERT(smallint,Column12),</v>
      </c>
      <c r="H339" s="22">
        <v>60</v>
      </c>
      <c r="I339" s="22">
        <v>20</v>
      </c>
      <c r="J339" s="22">
        <v>20</v>
      </c>
      <c r="K339" s="22">
        <v>60</v>
      </c>
      <c r="L339" s="22">
        <v>20</v>
      </c>
    </row>
    <row r="340" spans="1:12">
      <c r="A340" s="9" t="str">
        <f t="shared" si="28"/>
        <v>pick_req</v>
      </c>
      <c r="B340" s="16">
        <f t="shared" si="39"/>
        <v>1</v>
      </c>
      <c r="C340" s="16">
        <f t="shared" si="40"/>
        <v>13</v>
      </c>
      <c r="D340" s="16">
        <v>12</v>
      </c>
      <c r="E340" s="10" t="s">
        <v>422</v>
      </c>
      <c r="F340" s="23" t="s">
        <v>904</v>
      </c>
      <c r="G340" s="7" t="str">
        <f t="shared" si="34"/>
        <v xml:space="preserve">    [Pick Zone] = CONVERT(smallint,Column13),</v>
      </c>
      <c r="H340" s="22">
        <v>60</v>
      </c>
      <c r="I340" s="22">
        <v>20</v>
      </c>
      <c r="J340" s="22">
        <v>20</v>
      </c>
      <c r="K340" s="22">
        <v>60</v>
      </c>
      <c r="L340" s="22">
        <v>20</v>
      </c>
    </row>
    <row r="341" spans="1:12">
      <c r="A341" s="9" t="str">
        <f t="shared" si="28"/>
        <v>pick_req</v>
      </c>
      <c r="B341" s="16">
        <f t="shared" si="39"/>
        <v>2</v>
      </c>
      <c r="C341" s="16">
        <f t="shared" si="40"/>
        <v>14</v>
      </c>
      <c r="D341" s="16">
        <v>13</v>
      </c>
      <c r="E341" s="7" t="s">
        <v>423</v>
      </c>
      <c r="F341" s="23" t="s">
        <v>905</v>
      </c>
      <c r="G341" s="7" t="str">
        <f t="shared" si="34"/>
        <v xml:space="preserve">    [Pick Type] = CONVERT(varchar(1),Column14),</v>
      </c>
      <c r="H341" s="22" t="s">
        <v>232</v>
      </c>
      <c r="I341" s="22" t="s">
        <v>232</v>
      </c>
      <c r="J341" s="22" t="s">
        <v>232</v>
      </c>
      <c r="K341" s="22" t="s">
        <v>232</v>
      </c>
      <c r="L341" s="22" t="s">
        <v>232</v>
      </c>
    </row>
    <row r="342" spans="1:12">
      <c r="A342" s="9" t="str">
        <f t="shared" si="28"/>
        <v>pick_req</v>
      </c>
      <c r="B342" s="16">
        <f t="shared" si="39"/>
        <v>1</v>
      </c>
      <c r="C342" s="16">
        <f t="shared" si="40"/>
        <v>15</v>
      </c>
      <c r="D342" s="16">
        <v>14</v>
      </c>
      <c r="E342" s="10" t="s">
        <v>424</v>
      </c>
      <c r="F342" s="23" t="s">
        <v>972</v>
      </c>
      <c r="G342" s="7" t="str">
        <f t="shared" si="34"/>
        <v xml:space="preserve">    [Pick Category] = CONVERT(varchar(4),Column15),</v>
      </c>
      <c r="H342" s="22" t="s">
        <v>425</v>
      </c>
      <c r="I342" s="22" t="s">
        <v>425</v>
      </c>
      <c r="J342" s="22" t="s">
        <v>425</v>
      </c>
      <c r="K342" s="22" t="s">
        <v>425</v>
      </c>
      <c r="L342" s="22" t="s">
        <v>379</v>
      </c>
    </row>
    <row r="343" spans="1:12">
      <c r="A343" s="9" t="str">
        <f t="shared" si="28"/>
        <v>pick_req</v>
      </c>
      <c r="B343" s="16">
        <f t="shared" si="39"/>
        <v>1</v>
      </c>
      <c r="C343" s="16">
        <f t="shared" si="40"/>
        <v>16</v>
      </c>
      <c r="D343" s="16">
        <v>15</v>
      </c>
      <c r="E343" s="10" t="s">
        <v>426</v>
      </c>
      <c r="F343" s="23" t="s">
        <v>904</v>
      </c>
      <c r="G343" s="7" t="str">
        <f t="shared" si="34"/>
        <v xml:space="preserve">    [Hold Reason] = CONVERT(smallint,Column16),</v>
      </c>
      <c r="H343" s="22">
        <v>0</v>
      </c>
      <c r="I343" s="22">
        <v>0</v>
      </c>
      <c r="J343" s="22">
        <v>0</v>
      </c>
      <c r="K343" s="22">
        <v>0</v>
      </c>
      <c r="L343" s="22">
        <v>0</v>
      </c>
    </row>
    <row r="344" spans="1:12">
      <c r="A344" s="9" t="str">
        <f t="shared" si="28"/>
        <v>pick_req</v>
      </c>
      <c r="B344" s="16">
        <f t="shared" si="39"/>
        <v>2</v>
      </c>
      <c r="C344" s="16">
        <f t="shared" si="40"/>
        <v>17</v>
      </c>
      <c r="D344" s="16">
        <v>16</v>
      </c>
      <c r="E344" s="7" t="s">
        <v>183</v>
      </c>
      <c r="F344" s="23" t="s">
        <v>929</v>
      </c>
      <c r="G344" s="7" t="str">
        <f t="shared" si="34"/>
        <v xml:space="preserve">    [Stage Time] = CONVERT(datetime,Column17),</v>
      </c>
      <c r="H344" s="22" t="s">
        <v>290</v>
      </c>
      <c r="I344" s="22" t="s">
        <v>290</v>
      </c>
      <c r="J344" s="22" t="s">
        <v>290</v>
      </c>
      <c r="K344" s="22" t="s">
        <v>290</v>
      </c>
      <c r="L344" s="22" t="s">
        <v>290</v>
      </c>
    </row>
    <row r="345" spans="1:12">
      <c r="A345" s="9" t="str">
        <f t="shared" si="28"/>
        <v>pick_req</v>
      </c>
      <c r="C345" s="16">
        <v>0</v>
      </c>
      <c r="G345" s="7" t="str">
        <f>"FROM Kolding.["&amp;A345&amp;"]"</f>
        <v>FROM Kolding.[pick_req]</v>
      </c>
    </row>
    <row r="346" spans="1:12" ht="30" customHeight="1">
      <c r="A346" s="9" t="s">
        <v>1076</v>
      </c>
      <c r="B346" s="16">
        <f t="shared" ref="B346:B357" si="41">COUNTIF(E:E,E346)</f>
        <v>0</v>
      </c>
      <c r="E346" s="18"/>
      <c r="F346" s="23"/>
      <c r="G346" s="14" t="str">
        <f>"CREATE VIEW Kolding_LTS.["&amp;A346&amp;"] as select "</f>
        <v xml:space="preserve">CREATE VIEW Kolding_LTS.[psm_data] as select </v>
      </c>
      <c r="H346" s="22"/>
      <c r="I346" s="22"/>
      <c r="J346" s="22"/>
      <c r="K346" s="22"/>
      <c r="L346" s="22"/>
    </row>
    <row r="347" spans="1:12">
      <c r="A347" s="9" t="str">
        <f>A346</f>
        <v>psm_data</v>
      </c>
      <c r="B347" s="16">
        <f t="shared" si="41"/>
        <v>4</v>
      </c>
      <c r="C347" s="16">
        <v>1</v>
      </c>
      <c r="D347" s="16">
        <v>0</v>
      </c>
      <c r="E347" s="18" t="s">
        <v>203</v>
      </c>
      <c r="F347" s="23" t="s">
        <v>904</v>
      </c>
      <c r="G347" s="7" t="str">
        <f t="shared" si="34"/>
        <v xml:space="preserve">    [Zone] = CONVERT(smallint,Column1),</v>
      </c>
      <c r="H347" s="22">
        <v>1</v>
      </c>
      <c r="I347" s="22">
        <v>1</v>
      </c>
      <c r="J347" s="22">
        <v>1</v>
      </c>
      <c r="K347" s="22">
        <v>1</v>
      </c>
      <c r="L347" s="22">
        <v>1</v>
      </c>
    </row>
    <row r="348" spans="1:12">
      <c r="A348" s="9" t="str">
        <f t="shared" ref="A348:A358" si="42">A347</f>
        <v>psm_data</v>
      </c>
      <c r="B348" s="16">
        <f t="shared" si="41"/>
        <v>2</v>
      </c>
      <c r="C348" s="16">
        <v>2</v>
      </c>
      <c r="D348" s="16">
        <v>1</v>
      </c>
      <c r="E348" s="18" t="s">
        <v>199</v>
      </c>
      <c r="F348" s="23" t="s">
        <v>908</v>
      </c>
      <c r="G348" s="7" t="str">
        <f t="shared" si="34"/>
        <v xml:space="preserve">    [Job Type] = CONVERT(varchar(5),Column2),</v>
      </c>
      <c r="H348" s="22" t="s">
        <v>1008</v>
      </c>
      <c r="I348" s="22" t="s">
        <v>1008</v>
      </c>
      <c r="J348" s="22" t="s">
        <v>1009</v>
      </c>
      <c r="K348" s="22" t="s">
        <v>1009</v>
      </c>
      <c r="L348" s="22" t="s">
        <v>1009</v>
      </c>
    </row>
    <row r="349" spans="1:12">
      <c r="A349" s="9" t="str">
        <f t="shared" si="42"/>
        <v>psm_data</v>
      </c>
      <c r="B349" s="16">
        <f t="shared" si="41"/>
        <v>1</v>
      </c>
      <c r="C349" s="16">
        <v>3</v>
      </c>
      <c r="D349" s="16">
        <v>2</v>
      </c>
      <c r="E349" s="18" t="s">
        <v>1115</v>
      </c>
      <c r="F349" s="23" t="s">
        <v>908</v>
      </c>
      <c r="G349" s="7" t="str">
        <f t="shared" si="34"/>
        <v xml:space="preserve">    [Area] = CONVERT(varchar(5),Column3),</v>
      </c>
      <c r="H349" s="22" t="s">
        <v>990</v>
      </c>
      <c r="I349" s="22" t="s">
        <v>1010</v>
      </c>
      <c r="J349" s="22" t="s">
        <v>1011</v>
      </c>
      <c r="K349" s="22" t="s">
        <v>1012</v>
      </c>
      <c r="L349" s="22" t="s">
        <v>1013</v>
      </c>
    </row>
    <row r="350" spans="1:12">
      <c r="A350" s="9" t="str">
        <f t="shared" si="42"/>
        <v>psm_data</v>
      </c>
      <c r="B350" s="16">
        <f t="shared" si="41"/>
        <v>6</v>
      </c>
      <c r="C350" s="16">
        <v>4</v>
      </c>
      <c r="D350" s="16">
        <v>3</v>
      </c>
      <c r="E350" s="18" t="s">
        <v>1101</v>
      </c>
      <c r="F350" s="23" t="s">
        <v>904</v>
      </c>
      <c r="G350" s="7" t="str">
        <f t="shared" si="34"/>
        <v xml:space="preserve">    [Parm 1] = CONVERT(smallint,Column4),</v>
      </c>
      <c r="H350" s="22">
        <v>426</v>
      </c>
      <c r="I350" s="22">
        <v>0</v>
      </c>
      <c r="J350" s="22">
        <v>20</v>
      </c>
      <c r="K350" s="22">
        <v>400</v>
      </c>
      <c r="L350" s="22">
        <v>54</v>
      </c>
    </row>
    <row r="351" spans="1:12">
      <c r="A351" s="9" t="str">
        <f t="shared" si="42"/>
        <v>psm_data</v>
      </c>
      <c r="B351" s="16">
        <f t="shared" si="41"/>
        <v>6</v>
      </c>
      <c r="C351" s="16">
        <v>5</v>
      </c>
      <c r="D351" s="16">
        <v>4</v>
      </c>
      <c r="E351" s="18" t="s">
        <v>1102</v>
      </c>
      <c r="F351" s="23" t="s">
        <v>904</v>
      </c>
      <c r="G351" s="7" t="str">
        <f t="shared" si="34"/>
        <v xml:space="preserve">    [Parm 2] = CONVERT(smallint,Column5),</v>
      </c>
      <c r="H351" s="22">
        <v>403</v>
      </c>
      <c r="I351" s="22">
        <v>0</v>
      </c>
      <c r="J351" s="22">
        <v>20</v>
      </c>
      <c r="K351" s="22">
        <v>400</v>
      </c>
      <c r="L351" s="22">
        <v>54</v>
      </c>
    </row>
    <row r="352" spans="1:12">
      <c r="A352" s="9" t="str">
        <f t="shared" si="42"/>
        <v>psm_data</v>
      </c>
      <c r="B352" s="16">
        <f t="shared" si="41"/>
        <v>5</v>
      </c>
      <c r="C352" s="16">
        <v>6</v>
      </c>
      <c r="D352" s="16">
        <v>5</v>
      </c>
      <c r="E352" s="18" t="s">
        <v>1103</v>
      </c>
      <c r="F352" s="23" t="s">
        <v>904</v>
      </c>
      <c r="G352" s="7" t="str">
        <f t="shared" si="34"/>
        <v xml:space="preserve">    [Parm 3] = CONVERT(smallint,Column6),</v>
      </c>
      <c r="H352" s="22">
        <v>0</v>
      </c>
      <c r="I352" s="22">
        <v>0</v>
      </c>
      <c r="J352" s="22">
        <v>0</v>
      </c>
      <c r="K352" s="22">
        <v>0</v>
      </c>
      <c r="L352" s="22">
        <v>0</v>
      </c>
    </row>
    <row r="353" spans="1:12">
      <c r="A353" s="9" t="str">
        <f t="shared" si="42"/>
        <v>psm_data</v>
      </c>
      <c r="B353" s="16">
        <f t="shared" si="41"/>
        <v>4</v>
      </c>
      <c r="C353" s="16">
        <v>7</v>
      </c>
      <c r="D353" s="16">
        <v>6</v>
      </c>
      <c r="E353" s="18" t="s">
        <v>1104</v>
      </c>
      <c r="F353" s="23" t="s">
        <v>904</v>
      </c>
      <c r="G353" s="7" t="str">
        <f t="shared" si="34"/>
        <v xml:space="preserve">    [Parm 4] = CONVERT(smallint,Column7),</v>
      </c>
      <c r="H353" s="22">
        <v>0</v>
      </c>
      <c r="I353" s="22">
        <v>0</v>
      </c>
      <c r="J353" s="22">
        <v>0</v>
      </c>
      <c r="K353" s="22">
        <v>0</v>
      </c>
      <c r="L353" s="22">
        <v>0</v>
      </c>
    </row>
    <row r="354" spans="1:12">
      <c r="A354" s="9" t="str">
        <f t="shared" si="42"/>
        <v>psm_data</v>
      </c>
      <c r="B354" s="16">
        <f t="shared" si="41"/>
        <v>3</v>
      </c>
      <c r="C354" s="16">
        <v>8</v>
      </c>
      <c r="D354" s="16">
        <v>7</v>
      </c>
      <c r="E354" s="18" t="s">
        <v>1105</v>
      </c>
      <c r="F354" s="23" t="s">
        <v>904</v>
      </c>
      <c r="G354" s="7" t="str">
        <f t="shared" si="34"/>
        <v xml:space="preserve">    [Parm 5] = CONVERT(smallint,Column8),</v>
      </c>
      <c r="H354" s="22">
        <v>0</v>
      </c>
      <c r="I354" s="22">
        <v>0</v>
      </c>
      <c r="J354" s="22">
        <v>0</v>
      </c>
      <c r="K354" s="22">
        <v>0</v>
      </c>
      <c r="L354" s="22">
        <v>0</v>
      </c>
    </row>
    <row r="355" spans="1:12">
      <c r="A355" s="9" t="str">
        <f t="shared" si="42"/>
        <v>psm_data</v>
      </c>
      <c r="B355" s="16">
        <f t="shared" si="41"/>
        <v>3</v>
      </c>
      <c r="C355" s="16">
        <v>9</v>
      </c>
      <c r="D355" s="16">
        <v>8</v>
      </c>
      <c r="E355" s="18" t="s">
        <v>1106</v>
      </c>
      <c r="F355" s="23" t="s">
        <v>904</v>
      </c>
      <c r="G355" s="7" t="str">
        <f t="shared" si="34"/>
        <v xml:space="preserve">    [Parm 6] = CONVERT(smallint,Column9),</v>
      </c>
      <c r="H355" s="22">
        <v>0</v>
      </c>
      <c r="I355" s="22">
        <v>0</v>
      </c>
      <c r="J355" s="22">
        <v>0</v>
      </c>
      <c r="K355" s="22">
        <v>0</v>
      </c>
      <c r="L355" s="22">
        <v>0</v>
      </c>
    </row>
    <row r="356" spans="1:12">
      <c r="A356" s="9" t="str">
        <f t="shared" si="42"/>
        <v>psm_data</v>
      </c>
      <c r="B356" s="16">
        <f t="shared" si="41"/>
        <v>3</v>
      </c>
      <c r="C356" s="16">
        <v>10</v>
      </c>
      <c r="D356" s="16">
        <v>9</v>
      </c>
      <c r="E356" s="18" t="s">
        <v>1107</v>
      </c>
      <c r="F356" s="23" t="s">
        <v>904</v>
      </c>
      <c r="G356" s="7" t="str">
        <f t="shared" si="34"/>
        <v xml:space="preserve">    [Parm 7] = CONVERT(smallint,Column10),</v>
      </c>
      <c r="H356" s="22">
        <v>3</v>
      </c>
      <c r="I356" s="22">
        <v>1</v>
      </c>
      <c r="J356" s="22">
        <v>3</v>
      </c>
      <c r="K356" s="22">
        <v>3</v>
      </c>
      <c r="L356" s="22">
        <v>3</v>
      </c>
    </row>
    <row r="357" spans="1:12">
      <c r="A357" s="9" t="str">
        <f t="shared" si="42"/>
        <v>psm_data</v>
      </c>
      <c r="B357" s="16">
        <f t="shared" si="41"/>
        <v>3</v>
      </c>
      <c r="C357" s="16">
        <v>11</v>
      </c>
      <c r="D357" s="16">
        <v>10</v>
      </c>
      <c r="E357" s="18" t="s">
        <v>1108</v>
      </c>
      <c r="F357" s="23" t="s">
        <v>904</v>
      </c>
      <c r="G357" s="7" t="str">
        <f t="shared" si="34"/>
        <v xml:space="preserve">    [Parm 8] = CONVERT(smallint,Column11),</v>
      </c>
      <c r="H357" s="22">
        <v>1</v>
      </c>
      <c r="I357" s="22">
        <v>1</v>
      </c>
      <c r="J357" s="22">
        <v>1</v>
      </c>
      <c r="K357" s="22">
        <v>1</v>
      </c>
      <c r="L357" s="22">
        <v>1</v>
      </c>
    </row>
    <row r="358" spans="1:12">
      <c r="A358" s="9" t="str">
        <f t="shared" si="42"/>
        <v>psm_data</v>
      </c>
      <c r="C358" s="16">
        <v>0</v>
      </c>
      <c r="G358" s="7" t="str">
        <f>"FROM Kolding.["&amp;A358&amp;"]"</f>
        <v>FROM Kolding.[psm_data]</v>
      </c>
    </row>
    <row r="359" spans="1:12" ht="30" customHeight="1">
      <c r="A359" s="9" t="s">
        <v>1077</v>
      </c>
      <c r="B359" s="16">
        <f t="shared" ref="B359:B371" si="43">COUNTIF(E:E,E359)</f>
        <v>0</v>
      </c>
      <c r="C359" s="16">
        <f>IF(A359=A344,C344+1,0)</f>
        <v>0</v>
      </c>
      <c r="E359" s="6"/>
      <c r="F359" s="23"/>
      <c r="G359" s="14" t="str">
        <f>"CREATE VIEW Kolding_LTS.["&amp;A359&amp;"] as select "</f>
        <v xml:space="preserve">CREATE VIEW Kolding_LTS.[putaway] as select </v>
      </c>
    </row>
    <row r="360" spans="1:12">
      <c r="A360" s="9" t="str">
        <f t="shared" si="28"/>
        <v>putaway</v>
      </c>
      <c r="B360" s="16">
        <f t="shared" si="43"/>
        <v>1</v>
      </c>
      <c r="C360" s="16">
        <f t="shared" ref="C360:C371" si="44">IF(A360=A359,C359+1,0)</f>
        <v>1</v>
      </c>
      <c r="E360" s="10" t="s">
        <v>428</v>
      </c>
      <c r="F360" s="23" t="s">
        <v>909</v>
      </c>
      <c r="G360" s="7" t="str">
        <f t="shared" si="34"/>
        <v xml:space="preserve">    [Container Identity] = CONVERT(varchar(20),Column1),</v>
      </c>
      <c r="H360" s="22" t="s">
        <v>429</v>
      </c>
      <c r="I360" s="22" t="s">
        <v>430</v>
      </c>
      <c r="J360" s="22" t="s">
        <v>431</v>
      </c>
      <c r="K360" s="22" t="s">
        <v>432</v>
      </c>
      <c r="L360" s="22" t="s">
        <v>433</v>
      </c>
    </row>
    <row r="361" spans="1:12">
      <c r="A361" s="9" t="str">
        <f t="shared" si="28"/>
        <v>putaway</v>
      </c>
      <c r="B361" s="16">
        <f t="shared" si="43"/>
        <v>1</v>
      </c>
      <c r="C361" s="16">
        <f t="shared" si="44"/>
        <v>2</v>
      </c>
      <c r="D361" s="16">
        <v>1</v>
      </c>
      <c r="E361" s="10" t="s">
        <v>436</v>
      </c>
      <c r="F361" s="23" t="s">
        <v>904</v>
      </c>
      <c r="G361" s="7" t="str">
        <f t="shared" si="34"/>
        <v xml:space="preserve">    [Seq no] = CONVERT(smallint,Column2),</v>
      </c>
      <c r="H361" s="22">
        <v>1</v>
      </c>
      <c r="I361" s="22">
        <v>1</v>
      </c>
      <c r="J361" s="22">
        <v>1</v>
      </c>
      <c r="K361" s="22">
        <v>1</v>
      </c>
      <c r="L361" s="22">
        <v>1</v>
      </c>
    </row>
    <row r="362" spans="1:12">
      <c r="A362" s="9" t="str">
        <f t="shared" si="28"/>
        <v>putaway</v>
      </c>
      <c r="B362" s="16">
        <f t="shared" si="43"/>
        <v>1</v>
      </c>
      <c r="C362" s="16">
        <f t="shared" si="44"/>
        <v>3</v>
      </c>
      <c r="D362" s="16">
        <v>2</v>
      </c>
      <c r="E362" s="10" t="s">
        <v>437</v>
      </c>
      <c r="F362" s="23" t="s">
        <v>928</v>
      </c>
      <c r="G362" s="7" t="str">
        <f t="shared" si="34"/>
        <v xml:space="preserve">    [Dest Locn] = CONVERT(varchar(12),Column3),</v>
      </c>
      <c r="H362" s="22" t="s">
        <v>284</v>
      </c>
      <c r="I362" s="22" t="s">
        <v>284</v>
      </c>
      <c r="J362" s="22" t="s">
        <v>284</v>
      </c>
      <c r="K362" s="22" t="s">
        <v>284</v>
      </c>
      <c r="L362" s="22" t="s">
        <v>284</v>
      </c>
    </row>
    <row r="363" spans="1:12">
      <c r="A363" s="9" t="str">
        <f t="shared" si="28"/>
        <v>putaway</v>
      </c>
      <c r="B363" s="16">
        <f t="shared" si="43"/>
        <v>2</v>
      </c>
      <c r="C363" s="16">
        <f t="shared" si="44"/>
        <v>4</v>
      </c>
      <c r="D363" s="16">
        <v>3</v>
      </c>
      <c r="E363" s="7" t="s">
        <v>420</v>
      </c>
      <c r="F363" s="23" t="s">
        <v>909</v>
      </c>
      <c r="G363" s="7" t="str">
        <f t="shared" si="34"/>
        <v xml:space="preserve">    [Dest Container] = CONVERT(varchar(20),Column4),</v>
      </c>
      <c r="H363" s="22" t="s">
        <v>438</v>
      </c>
      <c r="I363" s="22" t="s">
        <v>438</v>
      </c>
      <c r="J363" s="22" t="s">
        <v>438</v>
      </c>
      <c r="K363" s="22" t="s">
        <v>438</v>
      </c>
      <c r="L363" s="22" t="s">
        <v>438</v>
      </c>
    </row>
    <row r="364" spans="1:12">
      <c r="A364" s="9" t="str">
        <f t="shared" si="28"/>
        <v>putaway</v>
      </c>
      <c r="B364" s="16">
        <f t="shared" si="43"/>
        <v>3</v>
      </c>
      <c r="C364" s="16">
        <f t="shared" si="44"/>
        <v>5</v>
      </c>
      <c r="D364" s="16">
        <v>4</v>
      </c>
      <c r="E364" s="7" t="s">
        <v>439</v>
      </c>
      <c r="F364" s="23" t="s">
        <v>906</v>
      </c>
      <c r="G364" s="7" t="str">
        <f t="shared" si="34"/>
        <v xml:space="preserve">    [Quantity] = CONVERT(int,Column5),</v>
      </c>
      <c r="H364" s="22">
        <v>400</v>
      </c>
      <c r="I364" s="22">
        <v>40</v>
      </c>
      <c r="J364" s="22">
        <v>2000</v>
      </c>
      <c r="K364" s="22">
        <v>10</v>
      </c>
      <c r="L364" s="22">
        <v>1000</v>
      </c>
    </row>
    <row r="365" spans="1:12">
      <c r="A365" s="9" t="str">
        <f t="shared" si="28"/>
        <v>putaway</v>
      </c>
      <c r="B365" s="16">
        <f t="shared" si="43"/>
        <v>4</v>
      </c>
      <c r="C365" s="16">
        <f t="shared" si="44"/>
        <v>6</v>
      </c>
      <c r="D365" s="16">
        <v>5</v>
      </c>
      <c r="E365" s="7" t="s">
        <v>180</v>
      </c>
      <c r="F365" s="23" t="s">
        <v>928</v>
      </c>
      <c r="G365" s="7" t="str">
        <f t="shared" si="34"/>
        <v xml:space="preserve">    [MHE] = CONVERT(varchar(12),Column6),</v>
      </c>
      <c r="H365" s="22" t="s">
        <v>327</v>
      </c>
      <c r="I365" s="22" t="s">
        <v>327</v>
      </c>
      <c r="J365" s="22" t="s">
        <v>327</v>
      </c>
      <c r="K365" s="22" t="s">
        <v>327</v>
      </c>
      <c r="L365" s="22" t="s">
        <v>327</v>
      </c>
    </row>
    <row r="366" spans="1:12">
      <c r="A366" s="9" t="str">
        <f t="shared" ref="A366:A464" si="45">A365</f>
        <v>putaway</v>
      </c>
      <c r="B366" s="16">
        <f t="shared" si="43"/>
        <v>6</v>
      </c>
      <c r="C366" s="16">
        <f t="shared" si="44"/>
        <v>7</v>
      </c>
      <c r="D366" s="16">
        <v>6</v>
      </c>
      <c r="E366" s="7" t="s">
        <v>188</v>
      </c>
      <c r="F366" s="23" t="s">
        <v>904</v>
      </c>
      <c r="G366" s="7" t="str">
        <f t="shared" si="34"/>
        <v xml:space="preserve">    [Stage] = CONVERT(smallint,Column7),</v>
      </c>
      <c r="H366" s="22">
        <v>50</v>
      </c>
      <c r="I366" s="22">
        <v>50</v>
      </c>
      <c r="J366" s="22">
        <v>50</v>
      </c>
      <c r="K366" s="22">
        <v>50</v>
      </c>
      <c r="L366" s="22">
        <v>50</v>
      </c>
    </row>
    <row r="367" spans="1:12">
      <c r="A367" s="9" t="str">
        <f t="shared" si="45"/>
        <v>putaway</v>
      </c>
      <c r="B367" s="16">
        <f t="shared" si="43"/>
        <v>5</v>
      </c>
      <c r="C367" s="16">
        <f t="shared" si="44"/>
        <v>8</v>
      </c>
      <c r="D367" s="16">
        <v>7</v>
      </c>
      <c r="E367" s="7" t="s">
        <v>189</v>
      </c>
      <c r="F367" s="23" t="s">
        <v>972</v>
      </c>
      <c r="G367" s="7" t="str">
        <f t="shared" si="34"/>
        <v xml:space="preserve">    [Category] = CONVERT(varchar(4),Column8),</v>
      </c>
      <c r="H367" s="22" t="s">
        <v>53</v>
      </c>
      <c r="I367" s="22" t="s">
        <v>53</v>
      </c>
      <c r="J367" s="22" t="s">
        <v>53</v>
      </c>
      <c r="K367" s="22" t="s">
        <v>53</v>
      </c>
      <c r="L367" s="22" t="s">
        <v>53</v>
      </c>
    </row>
    <row r="368" spans="1:12">
      <c r="A368" s="9" t="str">
        <f t="shared" si="45"/>
        <v>putaway</v>
      </c>
      <c r="B368" s="16">
        <f t="shared" si="43"/>
        <v>2</v>
      </c>
      <c r="C368" s="16">
        <f t="shared" si="44"/>
        <v>9</v>
      </c>
      <c r="D368" s="16">
        <v>8</v>
      </c>
      <c r="E368" s="7" t="s">
        <v>412</v>
      </c>
      <c r="F368" s="23" t="s">
        <v>929</v>
      </c>
      <c r="G368" s="7" t="str">
        <f t="shared" si="34"/>
        <v xml:space="preserve">    [Creation Time] = CONVERT(datetime,Column9),</v>
      </c>
      <c r="H368" s="22" t="s">
        <v>440</v>
      </c>
      <c r="I368" s="22" t="s">
        <v>441</v>
      </c>
      <c r="J368" s="22" t="s">
        <v>442</v>
      </c>
      <c r="K368" s="22" t="s">
        <v>443</v>
      </c>
      <c r="L368" s="22" t="s">
        <v>444</v>
      </c>
    </row>
    <row r="369" spans="1:12">
      <c r="A369" s="9" t="str">
        <f t="shared" si="45"/>
        <v>putaway</v>
      </c>
      <c r="B369" s="16">
        <f t="shared" si="43"/>
        <v>1</v>
      </c>
      <c r="C369" s="16">
        <f t="shared" si="44"/>
        <v>10</v>
      </c>
      <c r="D369" s="16">
        <v>9</v>
      </c>
      <c r="E369" s="10" t="s">
        <v>447</v>
      </c>
      <c r="F369" s="23" t="s">
        <v>908</v>
      </c>
      <c r="G369" s="7" t="str">
        <f t="shared" si="34"/>
        <v xml:space="preserve">    [Dest Cont Type] = CONVERT(varchar(5),Column10),</v>
      </c>
      <c r="H369" s="22" t="s">
        <v>53</v>
      </c>
      <c r="I369" s="22" t="s">
        <v>53</v>
      </c>
      <c r="J369" s="22" t="s">
        <v>53</v>
      </c>
      <c r="K369" s="22" t="s">
        <v>53</v>
      </c>
      <c r="L369" s="22" t="s">
        <v>53</v>
      </c>
    </row>
    <row r="370" spans="1:12">
      <c r="A370" s="9" t="str">
        <f t="shared" si="45"/>
        <v>putaway</v>
      </c>
      <c r="B370" s="16">
        <f t="shared" si="43"/>
        <v>2</v>
      </c>
      <c r="C370" s="16">
        <f t="shared" si="44"/>
        <v>11</v>
      </c>
      <c r="D370" s="16">
        <v>10</v>
      </c>
      <c r="E370" s="7" t="s">
        <v>109</v>
      </c>
      <c r="F370" s="23" t="s">
        <v>908</v>
      </c>
      <c r="G370" s="7" t="str">
        <f t="shared" si="34"/>
        <v xml:space="preserve">    [Velocity Code] = CONVERT(varchar(5),Column11),</v>
      </c>
      <c r="H370" s="22" t="s">
        <v>273</v>
      </c>
      <c r="I370" s="22" t="s">
        <v>260</v>
      </c>
      <c r="J370" s="22" t="s">
        <v>274</v>
      </c>
      <c r="K370" s="22" t="s">
        <v>260</v>
      </c>
      <c r="L370" s="22" t="s">
        <v>274</v>
      </c>
    </row>
    <row r="371" spans="1:12">
      <c r="A371" s="9" t="str">
        <f t="shared" si="45"/>
        <v>putaway</v>
      </c>
      <c r="B371" s="16">
        <f t="shared" si="43"/>
        <v>1</v>
      </c>
      <c r="C371" s="16">
        <f t="shared" si="44"/>
        <v>12</v>
      </c>
      <c r="D371" s="16">
        <v>11</v>
      </c>
      <c r="E371" s="25" t="s">
        <v>1015</v>
      </c>
      <c r="F371" s="23" t="s">
        <v>904</v>
      </c>
      <c r="G371" s="7" t="str">
        <f t="shared" si="34"/>
        <v xml:space="preserve">    [xCode] = CONVERT(smallint,Column12),</v>
      </c>
      <c r="H371" s="22">
        <v>1</v>
      </c>
      <c r="I371" s="22">
        <v>2</v>
      </c>
      <c r="J371" s="22">
        <v>40</v>
      </c>
      <c r="K371" s="22"/>
      <c r="L371" s="22"/>
    </row>
    <row r="372" spans="1:12">
      <c r="A372" s="9" t="str">
        <f t="shared" si="45"/>
        <v>putaway</v>
      </c>
      <c r="C372" s="16">
        <v>0</v>
      </c>
      <c r="G372" s="7" t="str">
        <f>"FROM Kolding.["&amp;A372&amp;"]"</f>
        <v>FROM Kolding.[putaway]</v>
      </c>
    </row>
    <row r="373" spans="1:12" ht="30" customHeight="1">
      <c r="A373" s="9" t="s">
        <v>1078</v>
      </c>
      <c r="B373" s="16">
        <f t="shared" ref="B373:B388" si="46">COUNTIF(E:E,E373)</f>
        <v>0</v>
      </c>
      <c r="C373" s="16">
        <f>IF(A373=A370,C370+1,0)</f>
        <v>0</v>
      </c>
      <c r="E373" s="6"/>
      <c r="F373" s="23"/>
      <c r="G373" s="14" t="str">
        <f>"CREATE VIEW Kolding_LTS.["&amp;A373&amp;"] as select "</f>
        <v xml:space="preserve">CREATE VIEW Kolding_LTS.[replen_qty] as select </v>
      </c>
    </row>
    <row r="374" spans="1:12">
      <c r="A374" s="9" t="str">
        <f t="shared" si="45"/>
        <v>replen_qty</v>
      </c>
      <c r="B374" s="16">
        <f t="shared" si="46"/>
        <v>3</v>
      </c>
      <c r="C374" s="16">
        <f t="shared" ref="C374:C388" si="47">IF(A374=A373,C373+1,0)</f>
        <v>1</v>
      </c>
      <c r="D374" s="16">
        <v>0</v>
      </c>
      <c r="E374" s="7" t="s">
        <v>449</v>
      </c>
      <c r="F374" s="23" t="s">
        <v>904</v>
      </c>
      <c r="G374" s="7" t="str">
        <f t="shared" si="34"/>
        <v xml:space="preserve">    [Zone Id] = CONVERT(smallint,Column1),</v>
      </c>
      <c r="H374" s="22" t="s">
        <v>450</v>
      </c>
      <c r="I374" s="22" t="s">
        <v>450</v>
      </c>
      <c r="J374" s="22" t="s">
        <v>450</v>
      </c>
      <c r="K374" s="22" t="s">
        <v>450</v>
      </c>
      <c r="L374" s="22" t="s">
        <v>450</v>
      </c>
    </row>
    <row r="375" spans="1:12">
      <c r="A375" s="9" t="str">
        <f t="shared" si="45"/>
        <v>replen_qty</v>
      </c>
      <c r="B375" s="16">
        <f t="shared" si="46"/>
        <v>6</v>
      </c>
      <c r="C375" s="16">
        <f t="shared" si="47"/>
        <v>2</v>
      </c>
      <c r="D375" s="16">
        <v>1</v>
      </c>
      <c r="E375" s="7" t="s">
        <v>188</v>
      </c>
      <c r="F375" s="23" t="s">
        <v>904</v>
      </c>
      <c r="G375" s="7" t="str">
        <f t="shared" si="34"/>
        <v xml:space="preserve">    [Stage] = CONVERT(smallint,Column2),</v>
      </c>
      <c r="H375" s="22">
        <v>202</v>
      </c>
      <c r="I375" s="22">
        <v>202</v>
      </c>
      <c r="J375" s="22">
        <v>202</v>
      </c>
      <c r="K375" s="22">
        <v>202</v>
      </c>
      <c r="L375" s="22">
        <v>202</v>
      </c>
    </row>
    <row r="376" spans="1:12">
      <c r="A376" s="9" t="str">
        <f t="shared" si="45"/>
        <v>replen_qty</v>
      </c>
      <c r="B376" s="16">
        <f t="shared" si="46"/>
        <v>7</v>
      </c>
      <c r="C376" s="16">
        <f t="shared" si="47"/>
        <v>3</v>
      </c>
      <c r="D376" s="16">
        <v>2</v>
      </c>
      <c r="E376" s="7" t="s">
        <v>185</v>
      </c>
      <c r="F376" s="23" t="s">
        <v>904</v>
      </c>
      <c r="G376" s="7" t="str">
        <f t="shared" ref="G376:G442" si="48">"    ["&amp;E376 &amp;"] = CONVERT("&amp;F376&amp;",Column" &amp;C376&amp;"),"</f>
        <v xml:space="preserve">    [Priority] = CONVERT(smallint,Column3),</v>
      </c>
      <c r="H376" s="22">
        <v>10</v>
      </c>
      <c r="I376" s="22">
        <v>10</v>
      </c>
      <c r="J376" s="22">
        <v>10</v>
      </c>
      <c r="K376" s="22">
        <v>10</v>
      </c>
      <c r="L376" s="22">
        <v>10</v>
      </c>
    </row>
    <row r="377" spans="1:12">
      <c r="A377" s="9" t="str">
        <f t="shared" si="45"/>
        <v>replen_qty</v>
      </c>
      <c r="B377" s="16">
        <f t="shared" si="46"/>
        <v>1</v>
      </c>
      <c r="C377" s="16">
        <f t="shared" si="47"/>
        <v>4</v>
      </c>
      <c r="D377" s="16">
        <v>3</v>
      </c>
      <c r="E377" s="10" t="s">
        <v>451</v>
      </c>
      <c r="F377" s="23" t="s">
        <v>906</v>
      </c>
      <c r="G377" s="7" t="str">
        <f t="shared" si="48"/>
        <v xml:space="preserve">    [Current Qty] = CONVERT(int,Column4),</v>
      </c>
      <c r="H377" s="22">
        <v>0</v>
      </c>
      <c r="I377" s="22">
        <v>0</v>
      </c>
      <c r="J377" s="22">
        <v>0</v>
      </c>
      <c r="K377" s="22">
        <v>0</v>
      </c>
      <c r="L377" s="22">
        <v>0</v>
      </c>
    </row>
    <row r="378" spans="1:12">
      <c r="A378" s="9" t="str">
        <f t="shared" si="45"/>
        <v>replen_qty</v>
      </c>
      <c r="B378" s="16">
        <f t="shared" si="46"/>
        <v>1</v>
      </c>
      <c r="C378" s="16">
        <f t="shared" si="47"/>
        <v>5</v>
      </c>
      <c r="D378" s="16">
        <v>4</v>
      </c>
      <c r="E378" s="10" t="s">
        <v>452</v>
      </c>
      <c r="F378" s="23" t="s">
        <v>906</v>
      </c>
      <c r="G378" s="7" t="str">
        <f t="shared" si="48"/>
        <v xml:space="preserve">    [Required Qty] = CONVERT(int,Column5),</v>
      </c>
      <c r="H378" s="22">
        <v>1920</v>
      </c>
      <c r="I378" s="22">
        <v>1000</v>
      </c>
      <c r="J378" s="22">
        <v>300</v>
      </c>
      <c r="K378" s="22">
        <v>300</v>
      </c>
      <c r="L378" s="22">
        <v>280</v>
      </c>
    </row>
    <row r="379" spans="1:12">
      <c r="A379" s="9" t="str">
        <f t="shared" si="45"/>
        <v>replen_qty</v>
      </c>
      <c r="B379" s="16">
        <f t="shared" si="46"/>
        <v>1</v>
      </c>
      <c r="C379" s="16">
        <f t="shared" si="47"/>
        <v>6</v>
      </c>
      <c r="D379" s="16">
        <v>5</v>
      </c>
      <c r="E379" s="10" t="s">
        <v>453</v>
      </c>
      <c r="F379" s="23" t="s">
        <v>906</v>
      </c>
      <c r="G379" s="7" t="str">
        <f t="shared" si="48"/>
        <v xml:space="preserve">    [Minimum Qty] = CONVERT(int,Column6),</v>
      </c>
      <c r="H379" s="22">
        <v>360</v>
      </c>
      <c r="I379" s="22">
        <v>200</v>
      </c>
      <c r="J379" s="22">
        <v>100</v>
      </c>
      <c r="K379" s="22">
        <v>100</v>
      </c>
      <c r="L379" s="22">
        <v>80</v>
      </c>
    </row>
    <row r="380" spans="1:12">
      <c r="A380" s="9" t="str">
        <f t="shared" si="45"/>
        <v>replen_qty</v>
      </c>
      <c r="B380" s="16">
        <f t="shared" si="46"/>
        <v>1</v>
      </c>
      <c r="C380" s="16">
        <f t="shared" si="47"/>
        <v>7</v>
      </c>
      <c r="D380" s="16">
        <v>6</v>
      </c>
      <c r="E380" s="10" t="s">
        <v>454</v>
      </c>
      <c r="F380" s="23" t="s">
        <v>906</v>
      </c>
      <c r="G380" s="7" t="str">
        <f t="shared" si="48"/>
        <v xml:space="preserve">    [Maximum Qty] = CONVERT(int,Column7),</v>
      </c>
      <c r="H380" s="22">
        <v>3840</v>
      </c>
      <c r="I380" s="22">
        <v>2000</v>
      </c>
      <c r="J380" s="22">
        <v>600</v>
      </c>
      <c r="K380" s="22">
        <v>600</v>
      </c>
      <c r="L380" s="22">
        <v>560</v>
      </c>
    </row>
    <row r="381" spans="1:12">
      <c r="A381" s="9" t="str">
        <f t="shared" si="45"/>
        <v>replen_qty</v>
      </c>
      <c r="B381" s="16">
        <f t="shared" si="46"/>
        <v>1</v>
      </c>
      <c r="C381" s="16">
        <f t="shared" si="47"/>
        <v>8</v>
      </c>
      <c r="D381" s="16">
        <v>7</v>
      </c>
      <c r="E381" s="10" t="s">
        <v>455</v>
      </c>
      <c r="F381" s="23" t="s">
        <v>904</v>
      </c>
      <c r="G381" s="7" t="str">
        <f t="shared" si="48"/>
        <v xml:space="preserve">    [Below Minimum] = CONVERT(smallint,Column8),</v>
      </c>
      <c r="H381" s="22">
        <v>1</v>
      </c>
      <c r="I381" s="22">
        <v>0</v>
      </c>
      <c r="J381" s="22">
        <v>0</v>
      </c>
      <c r="K381" s="22">
        <v>0</v>
      </c>
      <c r="L381" s="22">
        <v>0</v>
      </c>
    </row>
    <row r="382" spans="1:12">
      <c r="A382" s="9" t="str">
        <f t="shared" si="45"/>
        <v>replen_qty</v>
      </c>
      <c r="B382" s="16">
        <f t="shared" si="46"/>
        <v>1</v>
      </c>
      <c r="C382" s="16">
        <f t="shared" si="47"/>
        <v>9</v>
      </c>
      <c r="D382" s="16">
        <v>8</v>
      </c>
      <c r="E382" s="10" t="s">
        <v>456</v>
      </c>
      <c r="F382" s="23" t="s">
        <v>904</v>
      </c>
      <c r="G382" s="7" t="str">
        <f t="shared" si="48"/>
        <v xml:space="preserve">    [Qty Procent] = CONVERT(smallint,Column9),</v>
      </c>
      <c r="H382" s="22">
        <v>0</v>
      </c>
      <c r="I382" s="22">
        <v>0</v>
      </c>
      <c r="J382" s="22">
        <v>0</v>
      </c>
      <c r="K382" s="22">
        <v>0</v>
      </c>
      <c r="L382" s="22">
        <v>0</v>
      </c>
    </row>
    <row r="383" spans="1:12">
      <c r="A383" s="9" t="str">
        <f t="shared" si="45"/>
        <v>replen_qty</v>
      </c>
      <c r="B383" s="16">
        <f t="shared" si="46"/>
        <v>1</v>
      </c>
      <c r="C383" s="16">
        <f t="shared" si="47"/>
        <v>10</v>
      </c>
      <c r="D383" s="16">
        <v>9</v>
      </c>
      <c r="E383" s="10" t="s">
        <v>457</v>
      </c>
      <c r="F383" s="23" t="s">
        <v>906</v>
      </c>
      <c r="G383" s="7" t="str">
        <f t="shared" si="48"/>
        <v xml:space="preserve">    [AllocRef] = CONVERT(int,Column10),</v>
      </c>
      <c r="H383" s="22" t="s">
        <v>231</v>
      </c>
      <c r="I383" s="22" t="s">
        <v>458</v>
      </c>
      <c r="J383" s="22" t="s">
        <v>231</v>
      </c>
      <c r="K383" s="22" t="s">
        <v>231</v>
      </c>
      <c r="L383" s="22" t="s">
        <v>392</v>
      </c>
    </row>
    <row r="384" spans="1:12">
      <c r="A384" s="9" t="str">
        <f t="shared" si="45"/>
        <v>replen_qty</v>
      </c>
      <c r="B384" s="16">
        <f t="shared" si="46"/>
        <v>1</v>
      </c>
      <c r="C384" s="16">
        <f t="shared" si="47"/>
        <v>11</v>
      </c>
      <c r="D384" s="16">
        <v>10</v>
      </c>
      <c r="E384" s="10" t="s">
        <v>459</v>
      </c>
      <c r="F384" s="23" t="s">
        <v>928</v>
      </c>
      <c r="G384" s="7" t="str">
        <f t="shared" si="48"/>
        <v xml:space="preserve">    [Start Location] = CONVERT(varchar(12),Column11),</v>
      </c>
      <c r="H384" s="22" t="s">
        <v>284</v>
      </c>
      <c r="I384" s="22" t="s">
        <v>284</v>
      </c>
      <c r="J384" s="22" t="s">
        <v>284</v>
      </c>
      <c r="K384" s="22" t="s">
        <v>284</v>
      </c>
      <c r="L384" s="22" t="s">
        <v>284</v>
      </c>
    </row>
    <row r="385" spans="1:12">
      <c r="A385" s="9" t="str">
        <f t="shared" si="45"/>
        <v>replen_qty</v>
      </c>
      <c r="B385" s="16">
        <f t="shared" si="46"/>
        <v>1</v>
      </c>
      <c r="C385" s="16">
        <f t="shared" si="47"/>
        <v>12</v>
      </c>
      <c r="D385" s="16">
        <v>11</v>
      </c>
      <c r="E385" s="10" t="s">
        <v>460</v>
      </c>
      <c r="F385" s="23" t="s">
        <v>928</v>
      </c>
      <c r="G385" s="7" t="str">
        <f t="shared" si="48"/>
        <v xml:space="preserve">    [End Location] = CONVERT(varchar(12),Column12),</v>
      </c>
      <c r="H385" s="22" t="s">
        <v>284</v>
      </c>
      <c r="I385" s="22" t="s">
        <v>284</v>
      </c>
      <c r="J385" s="22" t="s">
        <v>284</v>
      </c>
      <c r="K385" s="22" t="s">
        <v>284</v>
      </c>
      <c r="L385" s="22" t="s">
        <v>284</v>
      </c>
    </row>
    <row r="386" spans="1:12">
      <c r="A386" s="9" t="str">
        <f t="shared" si="45"/>
        <v>replen_qty</v>
      </c>
      <c r="B386" s="16">
        <f t="shared" si="46"/>
        <v>8</v>
      </c>
      <c r="C386" s="16">
        <f t="shared" si="47"/>
        <v>13</v>
      </c>
      <c r="D386" s="16">
        <v>12</v>
      </c>
      <c r="E386" s="7" t="s">
        <v>96</v>
      </c>
      <c r="F386" s="23" t="s">
        <v>931</v>
      </c>
      <c r="G386" s="7" t="str">
        <f t="shared" si="48"/>
        <v xml:space="preserve">    [Client Code] = CONVERT(varchar(10),Column13),</v>
      </c>
      <c r="H386" s="22" t="s">
        <v>256</v>
      </c>
      <c r="I386" s="22" t="s">
        <v>256</v>
      </c>
      <c r="J386" s="22" t="s">
        <v>256</v>
      </c>
      <c r="K386" s="22" t="s">
        <v>256</v>
      </c>
      <c r="L386" s="22" t="s">
        <v>256</v>
      </c>
    </row>
    <row r="387" spans="1:12">
      <c r="A387" s="9" t="str">
        <f t="shared" si="45"/>
        <v>replen_qty</v>
      </c>
      <c r="B387" s="16">
        <f t="shared" si="46"/>
        <v>10</v>
      </c>
      <c r="C387" s="16">
        <f t="shared" si="47"/>
        <v>14</v>
      </c>
      <c r="D387" s="16">
        <v>13</v>
      </c>
      <c r="E387" s="7" t="s">
        <v>95</v>
      </c>
      <c r="F387" s="23" t="s">
        <v>906</v>
      </c>
      <c r="G387" s="7" t="str">
        <f t="shared" si="48"/>
        <v xml:space="preserve">    [Item Code] = CONVERT(int,Column14),</v>
      </c>
      <c r="H387" s="22" t="s">
        <v>461</v>
      </c>
      <c r="I387" s="22" t="s">
        <v>462</v>
      </c>
      <c r="J387" s="22" t="s">
        <v>463</v>
      </c>
      <c r="K387" s="22" t="s">
        <v>464</v>
      </c>
      <c r="L387" s="22" t="s">
        <v>465</v>
      </c>
    </row>
    <row r="388" spans="1:12">
      <c r="A388" s="9" t="str">
        <f t="shared" si="45"/>
        <v>replen_qty</v>
      </c>
      <c r="B388" s="16">
        <f t="shared" si="46"/>
        <v>5</v>
      </c>
      <c r="C388" s="16">
        <f t="shared" si="47"/>
        <v>15</v>
      </c>
      <c r="D388" s="16">
        <v>14</v>
      </c>
      <c r="E388" s="7" t="s">
        <v>97</v>
      </c>
      <c r="F388" s="23" t="s">
        <v>908</v>
      </c>
      <c r="G388" s="7" t="str">
        <f t="shared" si="48"/>
        <v xml:space="preserve">    [Item Conf] = CONVERT(varchar(5),Column15),</v>
      </c>
      <c r="H388" s="22" t="s">
        <v>257</v>
      </c>
      <c r="I388" s="22" t="s">
        <v>468</v>
      </c>
      <c r="J388" s="22" t="s">
        <v>468</v>
      </c>
      <c r="K388" s="22" t="s">
        <v>468</v>
      </c>
      <c r="L388" s="22" t="s">
        <v>469</v>
      </c>
    </row>
    <row r="389" spans="1:12">
      <c r="A389" s="9" t="str">
        <f t="shared" si="45"/>
        <v>replen_qty</v>
      </c>
      <c r="C389" s="16">
        <v>0</v>
      </c>
      <c r="G389" s="7" t="str">
        <f>"FROM Kolding.["&amp;A389&amp;"]"</f>
        <v>FROM Kolding.[replen_qty]</v>
      </c>
    </row>
    <row r="390" spans="1:12" ht="30" customHeight="1">
      <c r="A390" s="9" t="s">
        <v>1079</v>
      </c>
      <c r="B390" s="16">
        <f t="shared" ref="B390:B398" si="49">COUNTIF(E:E,E390)</f>
        <v>0</v>
      </c>
      <c r="C390" s="16">
        <v>0</v>
      </c>
      <c r="E390" s="18"/>
      <c r="F390" s="23"/>
      <c r="G390" s="14" t="str">
        <f>"CREATE VIEW Kolding_LTS.["&amp;A390&amp;"] as select "</f>
        <v xml:space="preserve">CREATE VIEW Kolding_LTS.[stock_assembly] as select </v>
      </c>
      <c r="H390" s="22"/>
      <c r="I390" s="22"/>
      <c r="J390" s="22"/>
      <c r="K390" s="22"/>
      <c r="L390" s="22"/>
    </row>
    <row r="391" spans="1:12">
      <c r="A391" s="9" t="str">
        <f>A390</f>
        <v>stock_assembly</v>
      </c>
      <c r="B391" s="16">
        <f t="shared" si="49"/>
        <v>1</v>
      </c>
      <c r="C391" s="16">
        <v>1</v>
      </c>
      <c r="D391" s="16">
        <v>0</v>
      </c>
      <c r="E391" s="18" t="s">
        <v>1133</v>
      </c>
      <c r="F391" s="23" t="s">
        <v>904</v>
      </c>
      <c r="G391" s="7" t="str">
        <f t="shared" si="48"/>
        <v xml:space="preserve">    [Std] = CONVERT(smallint,Column1),</v>
      </c>
      <c r="H391" s="22">
        <v>60</v>
      </c>
      <c r="I391" s="22">
        <v>60</v>
      </c>
      <c r="J391" s="22">
        <v>60</v>
      </c>
      <c r="K391" s="22">
        <v>60</v>
      </c>
      <c r="L391" s="22">
        <v>60</v>
      </c>
    </row>
    <row r="392" spans="1:12">
      <c r="A392" s="9" t="str">
        <f t="shared" ref="A392:A399" si="50">A391</f>
        <v>stock_assembly</v>
      </c>
      <c r="B392" s="16">
        <f t="shared" si="49"/>
        <v>5</v>
      </c>
      <c r="C392" s="16">
        <v>2</v>
      </c>
      <c r="D392" s="16">
        <v>1</v>
      </c>
      <c r="E392" s="18" t="s">
        <v>40</v>
      </c>
      <c r="F392" s="23" t="s">
        <v>906</v>
      </c>
      <c r="G392" s="7" t="str">
        <f t="shared" si="48"/>
        <v xml:space="preserve">    [Order Number] = CONVERT(int,Column2),</v>
      </c>
      <c r="H392" s="22">
        <v>3322402</v>
      </c>
      <c r="I392" s="22">
        <v>602392263</v>
      </c>
      <c r="J392" s="22">
        <v>602392502</v>
      </c>
      <c r="K392" s="22">
        <v>602392503</v>
      </c>
      <c r="L392" s="22">
        <v>602392504</v>
      </c>
    </row>
    <row r="393" spans="1:12">
      <c r="A393" s="9" t="str">
        <f t="shared" si="50"/>
        <v>stock_assembly</v>
      </c>
      <c r="B393" s="16">
        <f t="shared" si="49"/>
        <v>4</v>
      </c>
      <c r="C393" s="16">
        <v>3</v>
      </c>
      <c r="D393" s="16">
        <v>2</v>
      </c>
      <c r="E393" s="18" t="s">
        <v>1095</v>
      </c>
      <c r="F393" s="23" t="s">
        <v>904</v>
      </c>
      <c r="G393" s="7" t="str">
        <f t="shared" si="48"/>
        <v xml:space="preserve">    [Null] = CONVERT(smallint,Column3),</v>
      </c>
      <c r="H393" s="22">
        <v>0</v>
      </c>
      <c r="I393" s="22">
        <v>0</v>
      </c>
      <c r="J393" s="22">
        <v>0</v>
      </c>
      <c r="K393" s="22">
        <v>0</v>
      </c>
      <c r="L393" s="22">
        <v>0</v>
      </c>
    </row>
    <row r="394" spans="1:12">
      <c r="A394" s="9" t="str">
        <f t="shared" si="50"/>
        <v>stock_assembly</v>
      </c>
      <c r="B394" s="16">
        <f t="shared" si="49"/>
        <v>4</v>
      </c>
      <c r="C394" s="16">
        <v>4</v>
      </c>
      <c r="D394" s="16">
        <v>3</v>
      </c>
      <c r="E394" s="18" t="s">
        <v>203</v>
      </c>
      <c r="F394" s="23" t="s">
        <v>904</v>
      </c>
      <c r="G394" s="7" t="str">
        <f t="shared" si="48"/>
        <v xml:space="preserve">    [Zone] = CONVERT(smallint,Column4),</v>
      </c>
      <c r="H394" s="22">
        <v>20</v>
      </c>
      <c r="I394" s="22">
        <v>90</v>
      </c>
      <c r="J394" s="22">
        <v>99</v>
      </c>
      <c r="K394" s="22">
        <v>99</v>
      </c>
      <c r="L394" s="22">
        <v>99</v>
      </c>
    </row>
    <row r="395" spans="1:12">
      <c r="A395" s="9" t="str">
        <f t="shared" si="50"/>
        <v>stock_assembly</v>
      </c>
      <c r="B395" s="16">
        <f t="shared" si="49"/>
        <v>1</v>
      </c>
      <c r="C395" s="16">
        <v>5</v>
      </c>
      <c r="D395" s="16">
        <v>4</v>
      </c>
      <c r="E395" s="18" t="s">
        <v>1134</v>
      </c>
      <c r="F395" s="23" t="s">
        <v>928</v>
      </c>
      <c r="G395" s="7" t="str">
        <f t="shared" si="48"/>
        <v xml:space="preserve">    [Place] = CONVERT(varchar(12),Column5),</v>
      </c>
      <c r="H395" s="22" t="s">
        <v>1016</v>
      </c>
      <c r="I395" s="22" t="s">
        <v>1016</v>
      </c>
      <c r="J395" s="22" t="s">
        <v>1016</v>
      </c>
      <c r="K395" s="22" t="s">
        <v>1016</v>
      </c>
      <c r="L395" s="22" t="s">
        <v>1016</v>
      </c>
    </row>
    <row r="396" spans="1:12">
      <c r="A396" s="9" t="str">
        <f t="shared" si="50"/>
        <v>stock_assembly</v>
      </c>
      <c r="B396" s="16">
        <f t="shared" si="49"/>
        <v>4</v>
      </c>
      <c r="C396" s="16">
        <v>6</v>
      </c>
      <c r="D396" s="16">
        <v>5</v>
      </c>
      <c r="E396" s="18" t="s">
        <v>1</v>
      </c>
      <c r="F396" s="23" t="s">
        <v>928</v>
      </c>
      <c r="G396" s="7" t="str">
        <f t="shared" si="48"/>
        <v xml:space="preserve">    [Location] = CONVERT(varchar(12),Column6),</v>
      </c>
      <c r="H396" s="22" t="s">
        <v>964</v>
      </c>
      <c r="I396" s="22" t="s">
        <v>964</v>
      </c>
      <c r="J396" s="22" t="s">
        <v>964</v>
      </c>
      <c r="K396" s="22" t="s">
        <v>964</v>
      </c>
      <c r="L396" s="22" t="s">
        <v>964</v>
      </c>
    </row>
    <row r="397" spans="1:12">
      <c r="A397" s="9" t="str">
        <f t="shared" si="50"/>
        <v>stock_assembly</v>
      </c>
      <c r="B397" s="16">
        <f t="shared" si="49"/>
        <v>1</v>
      </c>
      <c r="C397" s="16">
        <v>7</v>
      </c>
      <c r="D397" s="16">
        <v>6</v>
      </c>
      <c r="E397" s="18" t="s">
        <v>1135</v>
      </c>
      <c r="F397" s="23" t="s">
        <v>905</v>
      </c>
      <c r="G397" s="7" t="str">
        <f t="shared" si="48"/>
        <v xml:space="preserve">    [Parm C] = CONVERT(varchar(1),Column7),</v>
      </c>
      <c r="H397" s="22" t="s">
        <v>232</v>
      </c>
      <c r="I397" s="22" t="s">
        <v>232</v>
      </c>
      <c r="J397" s="22" t="s">
        <v>232</v>
      </c>
      <c r="K397" s="22" t="s">
        <v>232</v>
      </c>
      <c r="L397" s="22" t="s">
        <v>232</v>
      </c>
    </row>
    <row r="398" spans="1:12">
      <c r="A398" s="9" t="str">
        <f t="shared" si="50"/>
        <v>stock_assembly</v>
      </c>
      <c r="B398" s="16">
        <f t="shared" si="49"/>
        <v>1</v>
      </c>
      <c r="C398" s="16">
        <v>8</v>
      </c>
      <c r="D398" s="16">
        <v>7</v>
      </c>
      <c r="E398" s="18" t="s">
        <v>1136</v>
      </c>
      <c r="F398" s="23" t="s">
        <v>904</v>
      </c>
      <c r="G398" s="7" t="str">
        <f t="shared" si="48"/>
        <v xml:space="preserve">    [Parm 0] = CONVERT(smallint,Column8),</v>
      </c>
      <c r="H398" s="22">
        <v>0</v>
      </c>
      <c r="I398" s="22">
        <v>0</v>
      </c>
      <c r="J398" s="22">
        <v>0</v>
      </c>
      <c r="K398" s="22">
        <v>0</v>
      </c>
      <c r="L398" s="22">
        <v>0</v>
      </c>
    </row>
    <row r="399" spans="1:12">
      <c r="A399" s="9" t="str">
        <f t="shared" si="50"/>
        <v>stock_assembly</v>
      </c>
      <c r="C399" s="16">
        <v>0</v>
      </c>
      <c r="G399" s="7" t="str">
        <f>"FROM Kolding.["&amp;A399&amp;"]"</f>
        <v>FROM Kolding.[stock_assembly]</v>
      </c>
    </row>
    <row r="400" spans="1:12" ht="30" customHeight="1">
      <c r="A400" s="9" t="s">
        <v>1080</v>
      </c>
      <c r="B400" s="16">
        <f t="shared" ref="B400:B420" si="51">COUNTIF(E:E,E400)</f>
        <v>0</v>
      </c>
      <c r="C400" s="16">
        <v>0</v>
      </c>
      <c r="E400" s="18"/>
      <c r="F400" s="23"/>
      <c r="G400" s="14" t="str">
        <f>"CREATE VIEW Kolding_LTS.["&amp;A400&amp;"] as select "</f>
        <v xml:space="preserve">CREATE VIEW Kolding_LTS.[stock_req2] as select </v>
      </c>
      <c r="H400" s="22"/>
      <c r="I400" s="22"/>
      <c r="J400" s="22"/>
      <c r="K400" s="22"/>
      <c r="L400" s="22"/>
    </row>
    <row r="401" spans="1:12">
      <c r="A401" s="9" t="s">
        <v>1080</v>
      </c>
      <c r="B401" s="16">
        <f t="shared" si="51"/>
        <v>6</v>
      </c>
      <c r="C401" s="16">
        <v>1</v>
      </c>
      <c r="D401" s="16">
        <v>0</v>
      </c>
      <c r="E401" s="7" t="s">
        <v>208</v>
      </c>
      <c r="F401" s="23" t="s">
        <v>906</v>
      </c>
      <c r="G401" s="7" t="str">
        <f t="shared" si="48"/>
        <v xml:space="preserve">    [Alloc Ref] = CONVERT(int,Column1),</v>
      </c>
      <c r="H401" s="22">
        <v>587507</v>
      </c>
      <c r="I401" s="22">
        <v>4254424</v>
      </c>
      <c r="J401" s="22">
        <v>4254613</v>
      </c>
      <c r="K401" s="22">
        <v>4254668</v>
      </c>
      <c r="L401" s="22">
        <v>4254716</v>
      </c>
    </row>
    <row r="402" spans="1:12">
      <c r="A402" s="9" t="s">
        <v>1080</v>
      </c>
      <c r="B402" s="16">
        <f t="shared" si="51"/>
        <v>8</v>
      </c>
      <c r="C402" s="16">
        <v>2</v>
      </c>
      <c r="D402" s="16">
        <v>1</v>
      </c>
      <c r="E402" s="18" t="s">
        <v>96</v>
      </c>
      <c r="F402" s="23" t="s">
        <v>931</v>
      </c>
      <c r="G402" s="7" t="str">
        <f t="shared" si="48"/>
        <v xml:space="preserve">    [Client Code] = CONVERT(varchar(10),Column2),</v>
      </c>
      <c r="H402" s="22" t="s">
        <v>938</v>
      </c>
      <c r="I402" s="22" t="s">
        <v>938</v>
      </c>
      <c r="J402" s="22" t="s">
        <v>938</v>
      </c>
      <c r="K402" s="22" t="s">
        <v>938</v>
      </c>
      <c r="L402" s="22" t="s">
        <v>938</v>
      </c>
    </row>
    <row r="403" spans="1:12">
      <c r="A403" s="9" t="s">
        <v>1080</v>
      </c>
      <c r="B403" s="16">
        <f t="shared" si="51"/>
        <v>10</v>
      </c>
      <c r="C403" s="16">
        <v>3</v>
      </c>
      <c r="D403" s="16">
        <v>2</v>
      </c>
      <c r="E403" s="18" t="s">
        <v>95</v>
      </c>
      <c r="F403" s="23" t="s">
        <v>906</v>
      </c>
      <c r="G403" s="7" t="str">
        <f t="shared" si="48"/>
        <v xml:space="preserve">    [Item Code] = CONVERT(int,Column3),</v>
      </c>
      <c r="H403" s="22">
        <v>4369317019</v>
      </c>
      <c r="I403" s="22">
        <v>777813000</v>
      </c>
      <c r="J403" s="22">
        <v>777813000</v>
      </c>
      <c r="K403" s="22">
        <v>705517604</v>
      </c>
      <c r="L403" s="22">
        <v>705517604</v>
      </c>
    </row>
    <row r="404" spans="1:12">
      <c r="A404" s="9" t="s">
        <v>1080</v>
      </c>
      <c r="B404" s="16">
        <f t="shared" si="51"/>
        <v>5</v>
      </c>
      <c r="C404" s="16">
        <v>4</v>
      </c>
      <c r="D404" s="16">
        <v>3</v>
      </c>
      <c r="E404" s="18" t="s">
        <v>97</v>
      </c>
      <c r="F404" s="23" t="s">
        <v>908</v>
      </c>
      <c r="G404" s="7" t="str">
        <f t="shared" si="48"/>
        <v xml:space="preserve">    [Item Conf] = CONVERT(varchar(5),Column4),</v>
      </c>
      <c r="H404" s="22" t="s">
        <v>1017</v>
      </c>
      <c r="I404" s="22" t="s">
        <v>1022</v>
      </c>
      <c r="J404" s="22" t="s">
        <v>1022</v>
      </c>
      <c r="K404" s="22" t="s">
        <v>1022</v>
      </c>
      <c r="L404" s="22" t="s">
        <v>1022</v>
      </c>
    </row>
    <row r="405" spans="1:12">
      <c r="A405" s="9" t="s">
        <v>1080</v>
      </c>
      <c r="B405" s="16">
        <f t="shared" si="51"/>
        <v>6</v>
      </c>
      <c r="C405" s="16">
        <v>5</v>
      </c>
      <c r="D405" s="16">
        <v>4</v>
      </c>
      <c r="E405" s="18" t="s">
        <v>1101</v>
      </c>
      <c r="F405" s="23" t="s">
        <v>908</v>
      </c>
      <c r="G405" s="7" t="str">
        <f t="shared" si="48"/>
        <v xml:space="preserve">    [Parm 1] = CONVERT(varchar(5),Column5),</v>
      </c>
      <c r="H405" s="22" t="s">
        <v>944</v>
      </c>
      <c r="I405" s="22" t="s">
        <v>944</v>
      </c>
      <c r="J405" s="22" t="s">
        <v>944</v>
      </c>
      <c r="K405" s="22" t="s">
        <v>944</v>
      </c>
      <c r="L405" s="22" t="s">
        <v>944</v>
      </c>
    </row>
    <row r="406" spans="1:12">
      <c r="A406" s="9" t="s">
        <v>1080</v>
      </c>
      <c r="B406" s="16">
        <f t="shared" si="51"/>
        <v>6</v>
      </c>
      <c r="C406" s="16">
        <v>6</v>
      </c>
      <c r="D406" s="16">
        <v>5</v>
      </c>
      <c r="E406" s="18" t="s">
        <v>1102</v>
      </c>
      <c r="F406" s="23" t="s">
        <v>998</v>
      </c>
      <c r="G406" s="7" t="str">
        <f t="shared" si="48"/>
        <v xml:space="preserve">    [Parm 2] = CONVERT(varchar(30),Column6),</v>
      </c>
      <c r="H406" s="22" t="s">
        <v>1000</v>
      </c>
      <c r="I406" s="22" t="s">
        <v>1000</v>
      </c>
      <c r="J406" s="22" t="s">
        <v>1000</v>
      </c>
      <c r="K406" s="22" t="s">
        <v>1000</v>
      </c>
      <c r="L406" s="22" t="s">
        <v>1000</v>
      </c>
    </row>
    <row r="407" spans="1:12">
      <c r="A407" s="9" t="s">
        <v>1080</v>
      </c>
      <c r="B407" s="16">
        <f t="shared" si="51"/>
        <v>5</v>
      </c>
      <c r="C407" s="16">
        <v>7</v>
      </c>
      <c r="D407" s="16">
        <v>6</v>
      </c>
      <c r="E407" s="18" t="s">
        <v>1103</v>
      </c>
      <c r="F407" s="23" t="s">
        <v>998</v>
      </c>
      <c r="G407" s="7" t="str">
        <f t="shared" si="48"/>
        <v xml:space="preserve">    [Parm 3] = CONVERT(varchar(30),Column7),</v>
      </c>
      <c r="H407" s="22" t="s">
        <v>1000</v>
      </c>
      <c r="I407" s="22" t="s">
        <v>1000</v>
      </c>
      <c r="J407" s="22" t="s">
        <v>1000</v>
      </c>
      <c r="K407" s="22" t="s">
        <v>1000</v>
      </c>
      <c r="L407" s="22" t="s">
        <v>1000</v>
      </c>
    </row>
    <row r="408" spans="1:12">
      <c r="A408" s="9" t="s">
        <v>1080</v>
      </c>
      <c r="B408" s="16">
        <f t="shared" si="51"/>
        <v>1</v>
      </c>
      <c r="C408" s="16">
        <v>8</v>
      </c>
      <c r="D408" s="16">
        <v>7</v>
      </c>
      <c r="E408" s="18" t="s">
        <v>1137</v>
      </c>
      <c r="F408" s="23" t="s">
        <v>905</v>
      </c>
      <c r="G408" s="7" t="str">
        <f t="shared" si="48"/>
        <v xml:space="preserve">    [Parm N] = CONVERT(varchar(1),Column8),</v>
      </c>
      <c r="H408" s="22" t="s">
        <v>241</v>
      </c>
      <c r="I408" s="22" t="s">
        <v>241</v>
      </c>
      <c r="J408" s="22" t="s">
        <v>241</v>
      </c>
      <c r="K408" s="22" t="s">
        <v>241</v>
      </c>
      <c r="L408" s="22" t="s">
        <v>241</v>
      </c>
    </row>
    <row r="409" spans="1:12">
      <c r="A409" s="9" t="s">
        <v>1080</v>
      </c>
      <c r="B409" s="16">
        <f t="shared" si="51"/>
        <v>9</v>
      </c>
      <c r="C409" s="16">
        <v>9</v>
      </c>
      <c r="D409" s="16">
        <v>8</v>
      </c>
      <c r="E409" s="18" t="s">
        <v>163</v>
      </c>
      <c r="F409" s="23" t="s">
        <v>905</v>
      </c>
      <c r="G409" s="7" t="str">
        <f t="shared" si="48"/>
        <v xml:space="preserve">    [Type] = CONVERT(varchar(1),Column9),</v>
      </c>
      <c r="H409" s="22">
        <v>0</v>
      </c>
      <c r="I409" s="22" t="s">
        <v>1023</v>
      </c>
      <c r="J409" s="22" t="s">
        <v>1023</v>
      </c>
      <c r="K409" s="22" t="s">
        <v>1023</v>
      </c>
      <c r="L409" s="22" t="s">
        <v>1023</v>
      </c>
    </row>
    <row r="410" spans="1:12">
      <c r="A410" s="9" t="s">
        <v>1080</v>
      </c>
      <c r="B410" s="16">
        <f t="shared" si="51"/>
        <v>5</v>
      </c>
      <c r="C410" s="16">
        <v>10</v>
      </c>
      <c r="D410" s="16">
        <v>9</v>
      </c>
      <c r="E410" s="18" t="s">
        <v>189</v>
      </c>
      <c r="F410" s="23" t="s">
        <v>908</v>
      </c>
      <c r="G410" s="7" t="str">
        <f t="shared" si="48"/>
        <v xml:space="preserve">    [Category] = CONVERT(varchar(5),Column10),</v>
      </c>
      <c r="H410" s="22" t="s">
        <v>1018</v>
      </c>
      <c r="I410" s="22" t="s">
        <v>944</v>
      </c>
      <c r="J410" s="22" t="s">
        <v>944</v>
      </c>
      <c r="K410" s="22" t="s">
        <v>944</v>
      </c>
      <c r="L410" s="22" t="s">
        <v>944</v>
      </c>
    </row>
    <row r="411" spans="1:12">
      <c r="A411" s="9" t="s">
        <v>1080</v>
      </c>
      <c r="B411" s="16">
        <f t="shared" si="51"/>
        <v>1</v>
      </c>
      <c r="C411" s="16">
        <v>11</v>
      </c>
      <c r="D411" s="16">
        <v>10</v>
      </c>
      <c r="E411" s="18" t="s">
        <v>1138</v>
      </c>
      <c r="F411" s="23" t="s">
        <v>904</v>
      </c>
      <c r="G411" s="7" t="str">
        <f t="shared" si="48"/>
        <v xml:space="preserve">    [Const] = CONVERT(smallint,Column11),</v>
      </c>
      <c r="H411" s="22">
        <v>1</v>
      </c>
      <c r="I411" s="22">
        <v>1</v>
      </c>
      <c r="J411" s="22">
        <v>1</v>
      </c>
      <c r="K411" s="22">
        <v>1</v>
      </c>
      <c r="L411" s="22">
        <v>1</v>
      </c>
    </row>
    <row r="412" spans="1:12">
      <c r="A412" s="9" t="s">
        <v>1080</v>
      </c>
      <c r="B412" s="16">
        <f t="shared" si="51"/>
        <v>4</v>
      </c>
      <c r="C412" s="16">
        <v>12</v>
      </c>
      <c r="D412" s="16">
        <v>11</v>
      </c>
      <c r="E412" s="18" t="s">
        <v>1095</v>
      </c>
      <c r="F412" s="23" t="s">
        <v>909</v>
      </c>
      <c r="G412" s="7" t="str">
        <f t="shared" si="48"/>
        <v xml:space="preserve">    [Null] = CONVERT(varchar(20),Column12),</v>
      </c>
      <c r="H412" s="22" t="s">
        <v>996</v>
      </c>
      <c r="I412" s="22" t="s">
        <v>996</v>
      </c>
      <c r="J412" s="22" t="s">
        <v>996</v>
      </c>
      <c r="K412" s="22" t="s">
        <v>996</v>
      </c>
      <c r="L412" s="22" t="s">
        <v>996</v>
      </c>
    </row>
    <row r="413" spans="1:12">
      <c r="A413" s="9" t="s">
        <v>1080</v>
      </c>
      <c r="B413" s="16">
        <f t="shared" si="51"/>
        <v>2</v>
      </c>
      <c r="C413" s="16">
        <v>13</v>
      </c>
      <c r="D413" s="16">
        <v>12</v>
      </c>
      <c r="E413" s="18" t="s">
        <v>674</v>
      </c>
      <c r="F413" s="23" t="s">
        <v>998</v>
      </c>
      <c r="G413" s="7" t="str">
        <f t="shared" si="48"/>
        <v xml:space="preserve">    [Text] = CONVERT(varchar(30),Column13),</v>
      </c>
      <c r="H413" s="22" t="s">
        <v>1019</v>
      </c>
      <c r="I413" s="22">
        <v>613528336</v>
      </c>
      <c r="J413" s="22">
        <v>613528365</v>
      </c>
      <c r="K413" s="22">
        <v>613528373</v>
      </c>
      <c r="L413" s="22">
        <v>613528383</v>
      </c>
    </row>
    <row r="414" spans="1:12">
      <c r="A414" s="9" t="s">
        <v>1080</v>
      </c>
      <c r="B414" s="16">
        <f t="shared" si="51"/>
        <v>1</v>
      </c>
      <c r="C414" s="16">
        <v>14</v>
      </c>
      <c r="D414" s="16">
        <v>13</v>
      </c>
      <c r="E414" s="18" t="s">
        <v>1139</v>
      </c>
      <c r="F414" s="23" t="s">
        <v>905</v>
      </c>
      <c r="G414" s="7" t="str">
        <f t="shared" si="48"/>
        <v xml:space="preserve">    [Select 1] = CONVERT(varchar(1),Column14),</v>
      </c>
      <c r="H414" s="22" t="s">
        <v>241</v>
      </c>
      <c r="I414" s="22" t="s">
        <v>241</v>
      </c>
      <c r="J414" s="22" t="s">
        <v>241</v>
      </c>
      <c r="K414" s="22" t="s">
        <v>241</v>
      </c>
      <c r="L414" s="22" t="s">
        <v>241</v>
      </c>
    </row>
    <row r="415" spans="1:12">
      <c r="A415" s="9" t="s">
        <v>1080</v>
      </c>
      <c r="B415" s="16">
        <f t="shared" si="51"/>
        <v>1</v>
      </c>
      <c r="C415" s="16">
        <v>15</v>
      </c>
      <c r="D415" s="16">
        <v>14</v>
      </c>
      <c r="E415" s="18" t="s">
        <v>1140</v>
      </c>
      <c r="F415" s="23" t="s">
        <v>905</v>
      </c>
      <c r="G415" s="7" t="str">
        <f t="shared" si="48"/>
        <v xml:space="preserve">    [Select 2] = CONVERT(varchar(1),Column15),</v>
      </c>
      <c r="H415" s="22" t="s">
        <v>1020</v>
      </c>
      <c r="I415" s="22" t="s">
        <v>1024</v>
      </c>
      <c r="J415" s="22" t="s">
        <v>1024</v>
      </c>
      <c r="K415" s="22" t="s">
        <v>1024</v>
      </c>
      <c r="L415" s="22" t="s">
        <v>1024</v>
      </c>
    </row>
    <row r="416" spans="1:12">
      <c r="A416" s="9" t="s">
        <v>1080</v>
      </c>
      <c r="B416" s="16">
        <f t="shared" si="51"/>
        <v>1</v>
      </c>
      <c r="C416" s="16">
        <v>16</v>
      </c>
      <c r="D416" s="16">
        <v>15</v>
      </c>
      <c r="E416" s="18" t="s">
        <v>1141</v>
      </c>
      <c r="F416" s="23" t="s">
        <v>905</v>
      </c>
      <c r="G416" s="7" t="str">
        <f t="shared" si="48"/>
        <v xml:space="preserve">    [Select 3] = CONVERT(varchar(1),Column16),</v>
      </c>
      <c r="H416" s="22" t="s">
        <v>912</v>
      </c>
      <c r="I416" s="22" t="s">
        <v>912</v>
      </c>
      <c r="J416" s="22" t="s">
        <v>912</v>
      </c>
      <c r="K416" s="22" t="s">
        <v>912</v>
      </c>
      <c r="L416" s="22" t="s">
        <v>912</v>
      </c>
    </row>
    <row r="417" spans="1:12">
      <c r="A417" s="9" t="s">
        <v>1080</v>
      </c>
      <c r="B417" s="16">
        <f t="shared" si="51"/>
        <v>1</v>
      </c>
      <c r="C417" s="16">
        <v>17</v>
      </c>
      <c r="D417" s="16">
        <v>16</v>
      </c>
      <c r="E417" s="18" t="s">
        <v>1142</v>
      </c>
      <c r="F417" s="23" t="s">
        <v>905</v>
      </c>
      <c r="G417" s="7" t="str">
        <f t="shared" si="48"/>
        <v xml:space="preserve">    [Select 4] = CONVERT(varchar(1),Column17),</v>
      </c>
      <c r="H417" s="22" t="s">
        <v>85</v>
      </c>
      <c r="I417" s="22" t="s">
        <v>912</v>
      </c>
      <c r="J417" s="22" t="s">
        <v>912</v>
      </c>
      <c r="K417" s="22" t="s">
        <v>912</v>
      </c>
      <c r="L417" s="22" t="s">
        <v>912</v>
      </c>
    </row>
    <row r="418" spans="1:12">
      <c r="A418" s="9" t="s">
        <v>1080</v>
      </c>
      <c r="B418" s="16">
        <f t="shared" si="51"/>
        <v>1</v>
      </c>
      <c r="C418" s="16">
        <v>18</v>
      </c>
      <c r="D418" s="16">
        <v>17</v>
      </c>
      <c r="E418" s="18" t="s">
        <v>1143</v>
      </c>
      <c r="F418" s="23" t="s">
        <v>905</v>
      </c>
      <c r="G418" s="7" t="str">
        <f t="shared" si="48"/>
        <v xml:space="preserve">    [Select 5] = CONVERT(varchar(1),Column18),</v>
      </c>
      <c r="H418" s="22" t="s">
        <v>241</v>
      </c>
      <c r="I418" s="22" t="s">
        <v>241</v>
      </c>
      <c r="J418" s="22" t="s">
        <v>241</v>
      </c>
      <c r="K418" s="22" t="s">
        <v>241</v>
      </c>
      <c r="L418" s="22" t="s">
        <v>241</v>
      </c>
    </row>
    <row r="419" spans="1:12">
      <c r="A419" s="9" t="s">
        <v>1080</v>
      </c>
      <c r="B419" s="16">
        <f t="shared" si="51"/>
        <v>1</v>
      </c>
      <c r="C419" s="16">
        <v>19</v>
      </c>
      <c r="D419" s="16">
        <v>18</v>
      </c>
      <c r="E419" s="18" t="s">
        <v>1144</v>
      </c>
      <c r="F419" s="23" t="s">
        <v>908</v>
      </c>
      <c r="G419" s="7" t="str">
        <f t="shared" si="48"/>
        <v xml:space="preserve">    [Form] = CONVERT(varchar(5),Column19),</v>
      </c>
      <c r="H419" s="22" t="s">
        <v>1021</v>
      </c>
      <c r="I419" s="22" t="s">
        <v>1025</v>
      </c>
      <c r="J419" s="22" t="s">
        <v>1025</v>
      </c>
      <c r="K419" s="22" t="s">
        <v>1025</v>
      </c>
      <c r="L419" s="22" t="s">
        <v>1025</v>
      </c>
    </row>
    <row r="420" spans="1:12">
      <c r="A420" s="9" t="s">
        <v>1080</v>
      </c>
      <c r="B420" s="16">
        <f t="shared" si="51"/>
        <v>2</v>
      </c>
      <c r="C420" s="16">
        <v>20</v>
      </c>
      <c r="D420" s="16">
        <v>19</v>
      </c>
      <c r="E420" s="18" t="s">
        <v>1120</v>
      </c>
      <c r="F420" s="23" t="s">
        <v>904</v>
      </c>
      <c r="G420" s="7" t="str">
        <f t="shared" si="48"/>
        <v xml:space="preserve">    [Empty] = CONVERT(smallint,Column20),</v>
      </c>
      <c r="H420" s="22">
        <v>0</v>
      </c>
      <c r="I420" s="22">
        <v>0</v>
      </c>
      <c r="J420" s="22">
        <v>0</v>
      </c>
      <c r="K420" s="22">
        <v>0</v>
      </c>
      <c r="L420" s="22">
        <v>0</v>
      </c>
    </row>
    <row r="421" spans="1:12">
      <c r="A421" s="9" t="str">
        <f>A420</f>
        <v>stock_req2</v>
      </c>
      <c r="C421" s="16">
        <v>0</v>
      </c>
      <c r="G421" s="7" t="str">
        <f>"FROM Kolding.["&amp;A421&amp;"]"</f>
        <v>FROM Kolding.[stock_req2]</v>
      </c>
    </row>
    <row r="422" spans="1:12" ht="30" customHeight="1">
      <c r="A422" s="9" t="s">
        <v>1081</v>
      </c>
      <c r="B422" s="16">
        <f t="shared" ref="B422:B451" si="52">COUNTIF(E:E,E422)</f>
        <v>0</v>
      </c>
      <c r="C422" s="16">
        <f>IF(A422=A631,C631+1,0)</f>
        <v>0</v>
      </c>
      <c r="E422" s="6"/>
      <c r="F422" s="23"/>
      <c r="G422" s="14" t="str">
        <f>"CREATE VIEW Kolding_LTS.["&amp;A422&amp;"] as select "</f>
        <v xml:space="preserve">CREATE VIEW Kolding_LTS.[stock_req] as select </v>
      </c>
    </row>
    <row r="423" spans="1:12">
      <c r="A423" s="9" t="str">
        <f t="shared" si="45"/>
        <v>stock_req</v>
      </c>
      <c r="B423" s="16">
        <f t="shared" si="52"/>
        <v>6</v>
      </c>
      <c r="C423" s="16">
        <f t="shared" ref="C423:C451" si="53">IF(A423=A422,C422+1,0)</f>
        <v>1</v>
      </c>
      <c r="D423" s="16">
        <v>0</v>
      </c>
      <c r="E423" s="7" t="s">
        <v>188</v>
      </c>
      <c r="F423" s="23" t="s">
        <v>906</v>
      </c>
      <c r="G423" s="7" t="str">
        <f t="shared" si="48"/>
        <v xml:space="preserve">    [Stage] = CONVERT(int,Column1),</v>
      </c>
      <c r="H423" s="22">
        <v>52</v>
      </c>
      <c r="I423" s="22">
        <v>1052</v>
      </c>
      <c r="J423" s="22">
        <v>1052</v>
      </c>
      <c r="K423" s="22">
        <v>1052</v>
      </c>
      <c r="L423" s="22">
        <v>1052</v>
      </c>
    </row>
    <row r="424" spans="1:12">
      <c r="A424" s="9" t="str">
        <f t="shared" si="45"/>
        <v>stock_req</v>
      </c>
      <c r="B424" s="16">
        <f t="shared" si="52"/>
        <v>6</v>
      </c>
      <c r="C424" s="16">
        <f t="shared" si="53"/>
        <v>2</v>
      </c>
      <c r="D424" s="16">
        <v>1</v>
      </c>
      <c r="E424" s="7" t="s">
        <v>208</v>
      </c>
      <c r="F424" s="23" t="s">
        <v>906</v>
      </c>
      <c r="G424" s="7" t="str">
        <f t="shared" si="48"/>
        <v xml:space="preserve">    [Alloc Ref] = CONVERT(int,Column2),</v>
      </c>
      <c r="H424" s="22" t="s">
        <v>472</v>
      </c>
      <c r="I424" s="22" t="s">
        <v>473</v>
      </c>
      <c r="J424" s="22" t="s">
        <v>474</v>
      </c>
      <c r="K424" s="22" t="s">
        <v>475</v>
      </c>
      <c r="L424" s="22" t="s">
        <v>476</v>
      </c>
    </row>
    <row r="425" spans="1:12">
      <c r="A425" s="9" t="str">
        <f t="shared" si="45"/>
        <v>stock_req</v>
      </c>
      <c r="B425" s="16">
        <f t="shared" si="52"/>
        <v>1</v>
      </c>
      <c r="C425" s="16">
        <f t="shared" si="53"/>
        <v>3</v>
      </c>
      <c r="D425" s="16">
        <v>2</v>
      </c>
      <c r="E425" s="10" t="s">
        <v>478</v>
      </c>
      <c r="F425" s="23" t="s">
        <v>929</v>
      </c>
      <c r="G425" s="7" t="str">
        <f t="shared" si="48"/>
        <v xml:space="preserve">    [Request Date] = CONVERT(datetime,Column3),</v>
      </c>
      <c r="H425" s="22" t="s">
        <v>479</v>
      </c>
      <c r="I425" s="22" t="s">
        <v>480</v>
      </c>
      <c r="J425" s="22" t="s">
        <v>481</v>
      </c>
      <c r="K425" s="22" t="s">
        <v>482</v>
      </c>
      <c r="L425" s="22" t="s">
        <v>483</v>
      </c>
    </row>
    <row r="426" spans="1:12">
      <c r="A426" s="9" t="str">
        <f t="shared" si="45"/>
        <v>stock_req</v>
      </c>
      <c r="B426" s="16">
        <f t="shared" si="52"/>
        <v>1</v>
      </c>
      <c r="C426" s="16">
        <f t="shared" si="53"/>
        <v>4</v>
      </c>
      <c r="D426" s="16">
        <v>3</v>
      </c>
      <c r="E426" s="10" t="s">
        <v>485</v>
      </c>
      <c r="F426" s="23" t="s">
        <v>906</v>
      </c>
      <c r="G426" s="7" t="str">
        <f t="shared" si="48"/>
        <v xml:space="preserve">    [Alloc Qty] = CONVERT(int,Column4),</v>
      </c>
      <c r="H426" s="22">
        <v>0</v>
      </c>
      <c r="I426" s="22">
        <v>5</v>
      </c>
      <c r="J426" s="22">
        <v>5</v>
      </c>
      <c r="K426" s="22">
        <v>1</v>
      </c>
      <c r="L426" s="22">
        <v>2</v>
      </c>
    </row>
    <row r="427" spans="1:12">
      <c r="A427" s="9" t="str">
        <f t="shared" si="45"/>
        <v>stock_req</v>
      </c>
      <c r="B427" s="16">
        <f t="shared" si="52"/>
        <v>1</v>
      </c>
      <c r="C427" s="16">
        <f t="shared" si="53"/>
        <v>5</v>
      </c>
      <c r="D427" s="16">
        <v>4</v>
      </c>
      <c r="E427" s="10" t="s">
        <v>486</v>
      </c>
      <c r="F427" s="23" t="s">
        <v>906</v>
      </c>
      <c r="G427" s="7" t="str">
        <f t="shared" si="48"/>
        <v xml:space="preserve">    [Reqd Qty] = CONVERT(int,Column5),</v>
      </c>
      <c r="H427" s="22">
        <v>72</v>
      </c>
      <c r="I427" s="22">
        <v>5</v>
      </c>
      <c r="J427" s="22">
        <v>5</v>
      </c>
      <c r="K427" s="22">
        <v>1</v>
      </c>
      <c r="L427" s="22">
        <v>2</v>
      </c>
    </row>
    <row r="428" spans="1:12">
      <c r="A428" s="9" t="str">
        <f t="shared" si="45"/>
        <v>stock_req</v>
      </c>
      <c r="B428" s="16">
        <f t="shared" si="52"/>
        <v>1</v>
      </c>
      <c r="C428" s="16">
        <f t="shared" si="53"/>
        <v>6</v>
      </c>
      <c r="D428" s="16">
        <v>5</v>
      </c>
      <c r="E428" s="10" t="s">
        <v>487</v>
      </c>
      <c r="F428" s="23" t="s">
        <v>929</v>
      </c>
      <c r="G428" s="7" t="str">
        <f t="shared" si="48"/>
        <v xml:space="preserve">    [Min Rotation Date] = CONVERT(datetime,Column6),</v>
      </c>
      <c r="H428" s="22" t="s">
        <v>488</v>
      </c>
      <c r="I428" s="22" t="s">
        <v>488</v>
      </c>
      <c r="J428" s="22" t="s">
        <v>488</v>
      </c>
      <c r="K428" s="22" t="s">
        <v>488</v>
      </c>
      <c r="L428" s="22" t="s">
        <v>488</v>
      </c>
    </row>
    <row r="429" spans="1:12">
      <c r="A429" s="9" t="str">
        <f t="shared" si="45"/>
        <v>stock_req</v>
      </c>
      <c r="B429" s="16">
        <f t="shared" si="52"/>
        <v>1</v>
      </c>
      <c r="C429" s="16">
        <f t="shared" si="53"/>
        <v>7</v>
      </c>
      <c r="D429" s="16">
        <v>6</v>
      </c>
      <c r="E429" s="10" t="s">
        <v>489</v>
      </c>
      <c r="F429" s="23" t="s">
        <v>929</v>
      </c>
      <c r="G429" s="7" t="str">
        <f t="shared" si="48"/>
        <v xml:space="preserve">    [Max Rotation Date] = CONVERT(datetime,Column7),</v>
      </c>
      <c r="H429" s="22" t="s">
        <v>490</v>
      </c>
      <c r="I429" s="22" t="s">
        <v>491</v>
      </c>
      <c r="J429" s="22" t="s">
        <v>491</v>
      </c>
      <c r="K429" s="22" t="s">
        <v>491</v>
      </c>
      <c r="L429" s="22" t="s">
        <v>491</v>
      </c>
    </row>
    <row r="430" spans="1:12">
      <c r="A430" s="9" t="str">
        <f t="shared" si="45"/>
        <v>stock_req</v>
      </c>
      <c r="B430" s="16">
        <f t="shared" si="52"/>
        <v>1</v>
      </c>
      <c r="C430" s="16">
        <f t="shared" si="53"/>
        <v>8</v>
      </c>
      <c r="D430" s="16">
        <v>7</v>
      </c>
      <c r="E430" s="10" t="s">
        <v>492</v>
      </c>
      <c r="F430" s="23" t="s">
        <v>904</v>
      </c>
      <c r="G430" s="7" t="str">
        <f t="shared" si="48"/>
        <v xml:space="preserve">    [Date Num] = CONVERT(smallint,Column8),</v>
      </c>
      <c r="H430" s="22">
        <v>1</v>
      </c>
      <c r="I430" s="22">
        <v>1</v>
      </c>
      <c r="J430" s="22">
        <v>1</v>
      </c>
      <c r="K430" s="22">
        <v>1</v>
      </c>
      <c r="L430" s="22">
        <v>1</v>
      </c>
    </row>
    <row r="431" spans="1:12">
      <c r="A431" s="9" t="str">
        <f t="shared" si="45"/>
        <v>stock_req</v>
      </c>
      <c r="B431" s="16">
        <f t="shared" si="52"/>
        <v>2</v>
      </c>
      <c r="C431" s="16">
        <f t="shared" si="53"/>
        <v>9</v>
      </c>
      <c r="D431" s="16">
        <v>8</v>
      </c>
      <c r="E431" s="7" t="s">
        <v>195</v>
      </c>
      <c r="F431" s="23" t="s">
        <v>906</v>
      </c>
      <c r="G431" s="7" t="str">
        <f t="shared" si="48"/>
        <v xml:space="preserve">    [Load] = CONVERT(int,Column9),</v>
      </c>
      <c r="H431" s="22">
        <v>910509341</v>
      </c>
      <c r="I431" s="22">
        <v>613528336</v>
      </c>
      <c r="J431" s="22">
        <v>613528365</v>
      </c>
      <c r="K431" s="22">
        <v>613528373</v>
      </c>
      <c r="L431" s="22">
        <v>613528383</v>
      </c>
    </row>
    <row r="432" spans="1:12">
      <c r="A432" s="9" t="str">
        <f t="shared" si="45"/>
        <v>stock_req</v>
      </c>
      <c r="B432" s="16">
        <f t="shared" si="52"/>
        <v>2</v>
      </c>
      <c r="C432" s="16">
        <f t="shared" si="53"/>
        <v>10</v>
      </c>
      <c r="D432" s="16">
        <v>9</v>
      </c>
      <c r="E432" s="7" t="s">
        <v>196</v>
      </c>
      <c r="F432" s="23" t="s">
        <v>904</v>
      </c>
      <c r="G432" s="7" t="str">
        <f t="shared" si="48"/>
        <v xml:space="preserve">    [Load Part] = CONVERT(smallint,Column10),</v>
      </c>
      <c r="H432" s="22">
        <v>1</v>
      </c>
      <c r="I432" s="22">
        <v>1</v>
      </c>
      <c r="J432" s="22">
        <v>1</v>
      </c>
      <c r="K432" s="22">
        <v>1</v>
      </c>
      <c r="L432" s="22">
        <v>1</v>
      </c>
    </row>
    <row r="433" spans="1:12">
      <c r="A433" s="9" t="str">
        <f t="shared" si="45"/>
        <v>stock_req</v>
      </c>
      <c r="B433" s="16">
        <f t="shared" si="52"/>
        <v>3</v>
      </c>
      <c r="C433" s="16">
        <f t="shared" si="53"/>
        <v>11</v>
      </c>
      <c r="D433" s="16">
        <v>10</v>
      </c>
      <c r="E433" s="7" t="s">
        <v>24</v>
      </c>
      <c r="F433" s="23" t="s">
        <v>906</v>
      </c>
      <c r="G433" s="7" t="str">
        <f t="shared" si="48"/>
        <v xml:space="preserve">    [Pick Group] = CONVERT(int,Column11),</v>
      </c>
      <c r="H433" s="22">
        <v>910509341</v>
      </c>
      <c r="I433" s="22">
        <v>613528336</v>
      </c>
      <c r="J433" s="22">
        <v>613528365</v>
      </c>
      <c r="K433" s="22">
        <v>613528373</v>
      </c>
      <c r="L433" s="22">
        <v>613528383</v>
      </c>
    </row>
    <row r="434" spans="1:12">
      <c r="A434" s="9" t="str">
        <f t="shared" si="45"/>
        <v>stock_req</v>
      </c>
      <c r="B434" s="16">
        <f t="shared" si="52"/>
        <v>2</v>
      </c>
      <c r="C434" s="16">
        <f t="shared" si="53"/>
        <v>12</v>
      </c>
      <c r="D434" s="16">
        <v>11</v>
      </c>
      <c r="E434" s="7" t="s">
        <v>194</v>
      </c>
      <c r="F434" s="23" t="s">
        <v>904</v>
      </c>
      <c r="G434" s="7" t="str">
        <f t="shared" si="48"/>
        <v xml:space="preserve">    [Wave] = CONVERT(smallint,Column12),</v>
      </c>
      <c r="H434" s="22">
        <v>0</v>
      </c>
      <c r="I434" s="22">
        <v>0</v>
      </c>
      <c r="J434" s="22">
        <v>0</v>
      </c>
      <c r="K434" s="22">
        <v>0</v>
      </c>
      <c r="L434" s="22">
        <v>0</v>
      </c>
    </row>
    <row r="435" spans="1:12">
      <c r="A435" s="9" t="str">
        <f t="shared" si="45"/>
        <v>stock_req</v>
      </c>
      <c r="B435" s="16">
        <f t="shared" si="52"/>
        <v>7</v>
      </c>
      <c r="C435" s="16">
        <f t="shared" si="53"/>
        <v>13</v>
      </c>
      <c r="D435" s="16">
        <v>12</v>
      </c>
      <c r="E435" s="7" t="s">
        <v>185</v>
      </c>
      <c r="F435" s="23" t="s">
        <v>904</v>
      </c>
      <c r="G435" s="7" t="str">
        <f t="shared" si="48"/>
        <v xml:space="preserve">    [Priority] = CONVERT(smallint,Column13),</v>
      </c>
      <c r="H435" s="22">
        <v>0</v>
      </c>
      <c r="I435" s="22">
        <v>0</v>
      </c>
      <c r="J435" s="22">
        <v>0</v>
      </c>
      <c r="K435" s="22">
        <v>0</v>
      </c>
      <c r="L435" s="22">
        <v>0</v>
      </c>
    </row>
    <row r="436" spans="1:12">
      <c r="A436" s="9" t="str">
        <f t="shared" si="45"/>
        <v>stock_req</v>
      </c>
      <c r="B436" s="16">
        <f t="shared" si="52"/>
        <v>1</v>
      </c>
      <c r="C436" s="16">
        <f t="shared" si="53"/>
        <v>14</v>
      </c>
      <c r="D436" s="16">
        <v>13</v>
      </c>
      <c r="E436" s="10" t="s">
        <v>493</v>
      </c>
      <c r="F436" s="23" t="s">
        <v>904</v>
      </c>
      <c r="G436" s="7" t="str">
        <f t="shared" si="48"/>
        <v xml:space="preserve">    [Rotate priority] = CONVERT(smallint,Column14),</v>
      </c>
      <c r="H436" s="22">
        <v>0</v>
      </c>
      <c r="I436" s="22">
        <v>0</v>
      </c>
      <c r="J436" s="22">
        <v>0</v>
      </c>
      <c r="K436" s="22">
        <v>0</v>
      </c>
      <c r="L436" s="22">
        <v>0</v>
      </c>
    </row>
    <row r="437" spans="1:12">
      <c r="A437" s="9" t="str">
        <f t="shared" si="45"/>
        <v>stock_req</v>
      </c>
      <c r="B437" s="16">
        <f t="shared" si="52"/>
        <v>1</v>
      </c>
      <c r="C437" s="16">
        <f t="shared" si="53"/>
        <v>15</v>
      </c>
      <c r="D437" s="16">
        <v>14</v>
      </c>
      <c r="E437" s="10" t="s">
        <v>494</v>
      </c>
      <c r="F437" s="23" t="s">
        <v>904</v>
      </c>
      <c r="G437" s="7" t="str">
        <f t="shared" si="48"/>
        <v xml:space="preserve">    [Zone priority] = CONVERT(smallint,Column15),</v>
      </c>
      <c r="H437" s="22">
        <v>0</v>
      </c>
      <c r="I437" s="22">
        <v>0</v>
      </c>
      <c r="J437" s="22">
        <v>0</v>
      </c>
      <c r="K437" s="22">
        <v>0</v>
      </c>
      <c r="L437" s="22">
        <v>0</v>
      </c>
    </row>
    <row r="438" spans="1:12">
      <c r="A438" s="9" t="str">
        <f t="shared" si="45"/>
        <v>stock_req</v>
      </c>
      <c r="B438" s="16">
        <f t="shared" si="52"/>
        <v>1</v>
      </c>
      <c r="C438" s="16">
        <f t="shared" si="53"/>
        <v>16</v>
      </c>
      <c r="D438" s="16">
        <v>15</v>
      </c>
      <c r="E438" s="10" t="s">
        <v>495</v>
      </c>
      <c r="F438" s="23" t="s">
        <v>904</v>
      </c>
      <c r="G438" s="7" t="str">
        <f t="shared" si="48"/>
        <v xml:space="preserve">    [Status priority] = CONVERT(smallint,Column16),</v>
      </c>
      <c r="H438" s="22">
        <v>0</v>
      </c>
      <c r="I438" s="22">
        <v>0</v>
      </c>
      <c r="J438" s="22">
        <v>0</v>
      </c>
      <c r="K438" s="22">
        <v>0</v>
      </c>
      <c r="L438" s="22">
        <v>0</v>
      </c>
    </row>
    <row r="439" spans="1:12">
      <c r="A439" s="9" t="str">
        <f t="shared" si="45"/>
        <v>stock_req</v>
      </c>
      <c r="B439" s="16">
        <f t="shared" si="52"/>
        <v>1</v>
      </c>
      <c r="C439" s="16">
        <f t="shared" si="53"/>
        <v>17</v>
      </c>
      <c r="D439" s="16">
        <v>16</v>
      </c>
      <c r="E439" s="10" t="s">
        <v>496</v>
      </c>
      <c r="F439" s="23" t="s">
        <v>904</v>
      </c>
      <c r="G439" s="7" t="str">
        <f t="shared" si="48"/>
        <v xml:space="preserve">    [Prefer Zone1] = CONVERT(smallint,Column17),</v>
      </c>
      <c r="H439" s="22">
        <v>0</v>
      </c>
      <c r="I439" s="22">
        <v>0</v>
      </c>
      <c r="J439" s="22">
        <v>0</v>
      </c>
      <c r="K439" s="22">
        <v>0</v>
      </c>
      <c r="L439" s="22">
        <v>0</v>
      </c>
    </row>
    <row r="440" spans="1:12">
      <c r="A440" s="9" t="str">
        <f t="shared" si="45"/>
        <v>stock_req</v>
      </c>
      <c r="B440" s="16">
        <f t="shared" si="52"/>
        <v>1</v>
      </c>
      <c r="C440" s="16">
        <f t="shared" si="53"/>
        <v>18</v>
      </c>
      <c r="D440" s="16">
        <v>17</v>
      </c>
      <c r="E440" s="10" t="s">
        <v>497</v>
      </c>
      <c r="F440" s="23" t="s">
        <v>904</v>
      </c>
      <c r="G440" s="7" t="str">
        <f t="shared" si="48"/>
        <v xml:space="preserve">    [Prefer Zone2] = CONVERT(smallint,Column18),</v>
      </c>
      <c r="H440" s="22">
        <v>0</v>
      </c>
      <c r="I440" s="22">
        <v>0</v>
      </c>
      <c r="J440" s="22">
        <v>0</v>
      </c>
      <c r="K440" s="22">
        <v>0</v>
      </c>
      <c r="L440" s="22">
        <v>0</v>
      </c>
    </row>
    <row r="441" spans="1:12">
      <c r="A441" s="9" t="str">
        <f t="shared" si="45"/>
        <v>stock_req</v>
      </c>
      <c r="B441" s="16">
        <f t="shared" si="52"/>
        <v>1</v>
      </c>
      <c r="C441" s="16">
        <f t="shared" si="53"/>
        <v>19</v>
      </c>
      <c r="D441" s="16">
        <v>18</v>
      </c>
      <c r="E441" s="10" t="s">
        <v>498</v>
      </c>
      <c r="F441" s="23" t="s">
        <v>904</v>
      </c>
      <c r="G441" s="7" t="str">
        <f t="shared" si="48"/>
        <v xml:space="preserve">    [Prefer Zone3] = CONVERT(smallint,Column19),</v>
      </c>
      <c r="H441" s="22">
        <v>0</v>
      </c>
      <c r="I441" s="22">
        <v>0</v>
      </c>
      <c r="J441" s="22">
        <v>0</v>
      </c>
      <c r="K441" s="22">
        <v>0</v>
      </c>
      <c r="L441" s="22">
        <v>0</v>
      </c>
    </row>
    <row r="442" spans="1:12">
      <c r="A442" s="9" t="str">
        <f t="shared" si="45"/>
        <v>stock_req</v>
      </c>
      <c r="B442" s="16">
        <f t="shared" si="52"/>
        <v>1</v>
      </c>
      <c r="C442" s="16">
        <f t="shared" si="53"/>
        <v>20</v>
      </c>
      <c r="D442" s="16">
        <v>19</v>
      </c>
      <c r="E442" s="10" t="s">
        <v>499</v>
      </c>
      <c r="F442" s="23" t="s">
        <v>904</v>
      </c>
      <c r="G442" s="7" t="str">
        <f t="shared" si="48"/>
        <v xml:space="preserve">    [Prefer Zone4] = CONVERT(smallint,Column20),</v>
      </c>
      <c r="H442" s="22">
        <v>0</v>
      </c>
      <c r="I442" s="22">
        <v>0</v>
      </c>
      <c r="J442" s="22">
        <v>0</v>
      </c>
      <c r="K442" s="22">
        <v>0</v>
      </c>
      <c r="L442" s="22">
        <v>0</v>
      </c>
    </row>
    <row r="443" spans="1:12">
      <c r="A443" s="9" t="str">
        <f t="shared" si="45"/>
        <v>stock_req</v>
      </c>
      <c r="B443" s="16">
        <f t="shared" si="52"/>
        <v>1</v>
      </c>
      <c r="C443" s="16">
        <f t="shared" si="53"/>
        <v>21</v>
      </c>
      <c r="D443" s="16">
        <v>20</v>
      </c>
      <c r="E443" s="10" t="s">
        <v>500</v>
      </c>
      <c r="F443" s="23" t="s">
        <v>904</v>
      </c>
      <c r="G443" s="7" t="str">
        <f t="shared" ref="G443:G509" si="54">"    ["&amp;E443 &amp;"] = CONVERT("&amp;F443&amp;",Column" &amp;C443&amp;"),"</f>
        <v xml:space="preserve">    [Prefer Zone5] = CONVERT(smallint,Column21),</v>
      </c>
      <c r="H443" s="22">
        <v>0</v>
      </c>
      <c r="I443" s="22">
        <v>0</v>
      </c>
      <c r="J443" s="22">
        <v>0</v>
      </c>
      <c r="K443" s="22">
        <v>0</v>
      </c>
      <c r="L443" s="22">
        <v>0</v>
      </c>
    </row>
    <row r="444" spans="1:12">
      <c r="A444" s="9" t="str">
        <f t="shared" si="45"/>
        <v>stock_req</v>
      </c>
      <c r="B444" s="16">
        <f t="shared" si="52"/>
        <v>1</v>
      </c>
      <c r="C444" s="16">
        <f t="shared" si="53"/>
        <v>22</v>
      </c>
      <c r="D444" s="16">
        <v>21</v>
      </c>
      <c r="E444" s="10" t="s">
        <v>501</v>
      </c>
      <c r="F444" s="23" t="s">
        <v>904</v>
      </c>
      <c r="G444" s="7" t="str">
        <f t="shared" si="54"/>
        <v xml:space="preserve">    [Max Batches] = CONVERT(smallint,Column22),</v>
      </c>
      <c r="H444" s="22">
        <v>1</v>
      </c>
      <c r="I444" s="22">
        <v>1</v>
      </c>
      <c r="J444" s="22">
        <v>1</v>
      </c>
      <c r="K444" s="22">
        <v>1</v>
      </c>
      <c r="L444" s="22">
        <v>1</v>
      </c>
    </row>
    <row r="445" spans="1:12">
      <c r="A445" s="9" t="str">
        <f t="shared" si="45"/>
        <v>stock_req</v>
      </c>
      <c r="B445" s="16">
        <f t="shared" si="52"/>
        <v>1</v>
      </c>
      <c r="C445" s="16">
        <f t="shared" si="53"/>
        <v>23</v>
      </c>
      <c r="D445" s="16">
        <v>22</v>
      </c>
      <c r="E445" s="10" t="s">
        <v>502</v>
      </c>
      <c r="F445" s="23" t="s">
        <v>936</v>
      </c>
      <c r="G445" s="7" t="str">
        <f t="shared" si="54"/>
        <v xml:space="preserve">    [Height restrict] = CONVERT(decimal(18,3),Column23),</v>
      </c>
      <c r="H445" s="22">
        <v>0</v>
      </c>
      <c r="I445" s="22">
        <v>0</v>
      </c>
      <c r="J445" s="22">
        <v>0</v>
      </c>
      <c r="K445" s="22">
        <v>0</v>
      </c>
      <c r="L445" s="22">
        <v>0</v>
      </c>
    </row>
    <row r="446" spans="1:12">
      <c r="A446" s="9" t="str">
        <f t="shared" si="45"/>
        <v>stock_req</v>
      </c>
      <c r="B446" s="16">
        <f t="shared" si="52"/>
        <v>1</v>
      </c>
      <c r="C446" s="16">
        <f t="shared" si="53"/>
        <v>24</v>
      </c>
      <c r="D446" s="16">
        <v>23</v>
      </c>
      <c r="E446" s="10" t="s">
        <v>503</v>
      </c>
      <c r="F446" s="23" t="s">
        <v>936</v>
      </c>
      <c r="G446" s="7" t="str">
        <f t="shared" si="54"/>
        <v xml:space="preserve">    [Weight restrict] = CONVERT(decimal(18,3),Column24),</v>
      </c>
      <c r="H446" s="22">
        <v>0</v>
      </c>
      <c r="I446" s="22">
        <v>0</v>
      </c>
      <c r="J446" s="22">
        <v>0</v>
      </c>
      <c r="K446" s="22">
        <v>0</v>
      </c>
      <c r="L446" s="22">
        <v>0</v>
      </c>
    </row>
    <row r="447" spans="1:12">
      <c r="A447" s="9" t="str">
        <f t="shared" si="45"/>
        <v>stock_req</v>
      </c>
      <c r="B447" s="16">
        <f t="shared" si="52"/>
        <v>9</v>
      </c>
      <c r="C447" s="16">
        <f t="shared" si="53"/>
        <v>25</v>
      </c>
      <c r="D447" s="16">
        <v>24</v>
      </c>
      <c r="E447" s="7" t="s">
        <v>163</v>
      </c>
      <c r="F447" s="23" t="s">
        <v>905</v>
      </c>
      <c r="G447" s="7" t="str">
        <f t="shared" si="54"/>
        <v xml:space="preserve">    [Type] = CONVERT(varchar(1),Column25),</v>
      </c>
      <c r="H447" s="22" t="s">
        <v>504</v>
      </c>
      <c r="I447" s="22" t="s">
        <v>85</v>
      </c>
      <c r="J447" s="22" t="s">
        <v>85</v>
      </c>
      <c r="K447" s="22" t="s">
        <v>85</v>
      </c>
      <c r="L447" s="22" t="s">
        <v>85</v>
      </c>
    </row>
    <row r="448" spans="1:12">
      <c r="A448" s="9" t="str">
        <f t="shared" si="45"/>
        <v>stock_req</v>
      </c>
      <c r="B448" s="16">
        <f t="shared" si="52"/>
        <v>1</v>
      </c>
      <c r="C448" s="16">
        <f t="shared" si="53"/>
        <v>26</v>
      </c>
      <c r="D448" s="16">
        <v>25</v>
      </c>
      <c r="E448" s="10" t="s">
        <v>505</v>
      </c>
      <c r="F448" s="23" t="s">
        <v>1026</v>
      </c>
      <c r="G448" s="7" t="str">
        <f t="shared" si="54"/>
        <v xml:space="preserve">    [Required Status] = CONVERT(varchar(16),Column26),</v>
      </c>
      <c r="H448" s="22" t="s">
        <v>506</v>
      </c>
      <c r="I448" s="22" t="s">
        <v>506</v>
      </c>
      <c r="J448" s="22" t="s">
        <v>506</v>
      </c>
      <c r="K448" s="22" t="s">
        <v>506</v>
      </c>
      <c r="L448" s="22" t="s">
        <v>506</v>
      </c>
    </row>
    <row r="449" spans="1:12">
      <c r="A449" s="9" t="str">
        <f t="shared" si="45"/>
        <v>stock_req</v>
      </c>
      <c r="B449" s="16">
        <f t="shared" si="52"/>
        <v>1</v>
      </c>
      <c r="C449" s="16">
        <f t="shared" si="53"/>
        <v>27</v>
      </c>
      <c r="D449" s="16">
        <v>26</v>
      </c>
      <c r="E449" s="10" t="s">
        <v>507</v>
      </c>
      <c r="F449" s="23" t="s">
        <v>1026</v>
      </c>
      <c r="G449" s="7" t="str">
        <f t="shared" si="54"/>
        <v xml:space="preserve">    [Allowed Status] = CONVERT(varchar(16),Column27),</v>
      </c>
      <c r="H449" s="22" t="s">
        <v>506</v>
      </c>
      <c r="I449" s="22" t="s">
        <v>508</v>
      </c>
      <c r="J449" s="22" t="s">
        <v>508</v>
      </c>
      <c r="K449" s="22" t="s">
        <v>508</v>
      </c>
      <c r="L449" s="22" t="s">
        <v>508</v>
      </c>
    </row>
    <row r="450" spans="1:12">
      <c r="A450" s="9" t="str">
        <f t="shared" si="45"/>
        <v>stock_req</v>
      </c>
      <c r="B450" s="16">
        <f t="shared" si="52"/>
        <v>1</v>
      </c>
      <c r="C450" s="16">
        <f t="shared" si="53"/>
        <v>28</v>
      </c>
      <c r="D450" s="16">
        <v>27</v>
      </c>
      <c r="E450" s="10" t="s">
        <v>509</v>
      </c>
      <c r="F450" s="23" t="s">
        <v>1026</v>
      </c>
      <c r="G450" s="7" t="str">
        <f t="shared" si="54"/>
        <v xml:space="preserve">    [Prefer Status] = CONVERT(varchar(16),Column28),</v>
      </c>
      <c r="H450" s="22" t="s">
        <v>506</v>
      </c>
      <c r="I450" s="22" t="s">
        <v>506</v>
      </c>
      <c r="J450" s="22" t="s">
        <v>506</v>
      </c>
      <c r="K450" s="22" t="s">
        <v>506</v>
      </c>
      <c r="L450" s="22" t="s">
        <v>506</v>
      </c>
    </row>
    <row r="451" spans="1:12">
      <c r="A451" s="9" t="str">
        <f t="shared" si="45"/>
        <v>stock_req</v>
      </c>
      <c r="B451" s="16">
        <f t="shared" si="52"/>
        <v>1</v>
      </c>
      <c r="C451" s="16">
        <f t="shared" si="53"/>
        <v>29</v>
      </c>
      <c r="D451" s="16">
        <v>28</v>
      </c>
      <c r="E451" s="10" t="s">
        <v>510</v>
      </c>
      <c r="F451" s="23" t="s">
        <v>1026</v>
      </c>
      <c r="G451" s="7" t="str">
        <f t="shared" si="54"/>
        <v xml:space="preserve">    [Less Prefer Status] = CONVERT(varchar(16),Column29),</v>
      </c>
      <c r="H451" s="22" t="s">
        <v>506</v>
      </c>
      <c r="I451" s="22" t="s">
        <v>506</v>
      </c>
      <c r="J451" s="22" t="s">
        <v>506</v>
      </c>
      <c r="K451" s="22" t="s">
        <v>506</v>
      </c>
      <c r="L451" s="22" t="s">
        <v>506</v>
      </c>
    </row>
    <row r="452" spans="1:12">
      <c r="A452" s="9" t="str">
        <f t="shared" si="45"/>
        <v>stock_req</v>
      </c>
      <c r="C452" s="16">
        <v>0</v>
      </c>
      <c r="G452" s="7" t="str">
        <f>"FROM Kolding.["&amp;A452&amp;"]"</f>
        <v>FROM Kolding.[stock_req]</v>
      </c>
    </row>
    <row r="453" spans="1:12" ht="30" customHeight="1">
      <c r="A453" s="9" t="s">
        <v>1082</v>
      </c>
      <c r="B453" s="16">
        <f t="shared" ref="B453:B459" si="55">COUNTIF(E:E,E453)</f>
        <v>0</v>
      </c>
      <c r="C453" s="16">
        <f>IF(A453=A451,C451+1,0)</f>
        <v>0</v>
      </c>
      <c r="E453" s="6"/>
      <c r="F453" s="23"/>
      <c r="G453" s="14" t="str">
        <f>"CREATE VIEW Kolding_LTS.["&amp;A453&amp;"] as select "</f>
        <v xml:space="preserve">CREATE VIEW Kolding_LTS.[stock_spread] as select </v>
      </c>
    </row>
    <row r="454" spans="1:12">
      <c r="A454" s="9" t="str">
        <f t="shared" si="45"/>
        <v>stock_spread</v>
      </c>
      <c r="B454" s="16">
        <f t="shared" si="55"/>
        <v>3</v>
      </c>
      <c r="C454" s="16">
        <f t="shared" ref="C454:C459" si="56">IF(A454=A453,C453+1,0)</f>
        <v>1</v>
      </c>
      <c r="D454" s="16">
        <v>0</v>
      </c>
      <c r="E454" s="7" t="s">
        <v>449</v>
      </c>
      <c r="F454" s="23" t="s">
        <v>904</v>
      </c>
      <c r="G454" s="7" t="str">
        <f t="shared" si="54"/>
        <v xml:space="preserve">    [Zone Id] = CONVERT(smallint,Column1),</v>
      </c>
      <c r="H454" s="22">
        <v>1</v>
      </c>
      <c r="I454" s="22">
        <v>1</v>
      </c>
      <c r="J454" s="22">
        <v>1</v>
      </c>
      <c r="K454" s="22">
        <v>1</v>
      </c>
      <c r="L454" s="22">
        <v>1</v>
      </c>
    </row>
    <row r="455" spans="1:12">
      <c r="A455" s="9" t="str">
        <f t="shared" si="45"/>
        <v>stock_spread</v>
      </c>
      <c r="B455" s="16">
        <f t="shared" si="55"/>
        <v>2</v>
      </c>
      <c r="C455" s="16">
        <f t="shared" si="56"/>
        <v>2</v>
      </c>
      <c r="D455" s="16">
        <v>1</v>
      </c>
      <c r="E455" s="7" t="s">
        <v>190</v>
      </c>
      <c r="F455" s="23" t="s">
        <v>904</v>
      </c>
      <c r="G455" s="7" t="str">
        <f t="shared" si="54"/>
        <v xml:space="preserve">    [Aisle] = CONVERT(smallint,Column2),</v>
      </c>
      <c r="H455" s="22">
        <v>1</v>
      </c>
      <c r="I455" s="22">
        <v>2</v>
      </c>
      <c r="J455" s="22">
        <v>3</v>
      </c>
      <c r="K455" s="22">
        <v>4</v>
      </c>
      <c r="L455" s="22">
        <v>5</v>
      </c>
    </row>
    <row r="456" spans="1:12">
      <c r="A456" s="9" t="str">
        <f t="shared" si="45"/>
        <v>stock_spread</v>
      </c>
      <c r="B456" s="16">
        <f t="shared" si="55"/>
        <v>3</v>
      </c>
      <c r="C456" s="16">
        <f t="shared" si="56"/>
        <v>3</v>
      </c>
      <c r="D456" s="16">
        <v>2</v>
      </c>
      <c r="E456" s="7" t="s">
        <v>439</v>
      </c>
      <c r="F456" s="23" t="s">
        <v>906</v>
      </c>
      <c r="G456" s="7" t="str">
        <f t="shared" si="54"/>
        <v xml:space="preserve">    [Quantity] = CONVERT(int,Column3),</v>
      </c>
      <c r="H456" s="22">
        <v>95292330</v>
      </c>
      <c r="I456" s="22">
        <v>92486032</v>
      </c>
      <c r="J456" s="22">
        <v>93845628</v>
      </c>
      <c r="K456" s="22">
        <v>94189500</v>
      </c>
      <c r="L456" s="22">
        <v>93323430</v>
      </c>
    </row>
    <row r="457" spans="1:12">
      <c r="A457" s="9" t="str">
        <f t="shared" si="45"/>
        <v>stock_spread</v>
      </c>
      <c r="B457" s="16">
        <f t="shared" si="55"/>
        <v>1</v>
      </c>
      <c r="C457" s="16">
        <f t="shared" si="56"/>
        <v>4</v>
      </c>
      <c r="D457" s="16">
        <v>3</v>
      </c>
      <c r="E457" s="10" t="s">
        <v>512</v>
      </c>
      <c r="F457" s="23" t="s">
        <v>929</v>
      </c>
      <c r="G457" s="7" t="str">
        <f t="shared" si="54"/>
        <v xml:space="preserve">    [Rotation Date] = CONVERT(datetime,Column4),</v>
      </c>
      <c r="H457" s="22" t="s">
        <v>488</v>
      </c>
      <c r="I457" s="22" t="s">
        <v>488</v>
      </c>
      <c r="J457" s="22" t="s">
        <v>488</v>
      </c>
      <c r="K457" s="22" t="s">
        <v>488</v>
      </c>
      <c r="L457" s="22" t="s">
        <v>488</v>
      </c>
    </row>
    <row r="458" spans="1:12">
      <c r="A458" s="9" t="str">
        <f t="shared" si="45"/>
        <v>stock_spread</v>
      </c>
      <c r="B458" s="16">
        <f t="shared" si="55"/>
        <v>8</v>
      </c>
      <c r="C458" s="16">
        <f t="shared" si="56"/>
        <v>5</v>
      </c>
      <c r="D458" s="16">
        <v>4</v>
      </c>
      <c r="E458" s="7" t="s">
        <v>96</v>
      </c>
      <c r="F458" s="23" t="s">
        <v>931</v>
      </c>
      <c r="G458" s="7" t="str">
        <f t="shared" si="54"/>
        <v xml:space="preserve">    [Client Code] = CONVERT(varchar(10),Column5),</v>
      </c>
      <c r="H458" s="22" t="s">
        <v>256</v>
      </c>
      <c r="I458" s="22" t="s">
        <v>256</v>
      </c>
      <c r="J458" s="22" t="s">
        <v>256</v>
      </c>
      <c r="K458" s="22" t="s">
        <v>256</v>
      </c>
      <c r="L458" s="22" t="s">
        <v>256</v>
      </c>
    </row>
    <row r="459" spans="1:12">
      <c r="A459" s="9" t="str">
        <f t="shared" si="45"/>
        <v>stock_spread</v>
      </c>
      <c r="B459" s="16">
        <f t="shared" si="55"/>
        <v>10</v>
      </c>
      <c r="C459" s="16">
        <f t="shared" si="56"/>
        <v>6</v>
      </c>
      <c r="D459" s="16">
        <v>5</v>
      </c>
      <c r="E459" s="7" t="s">
        <v>95</v>
      </c>
      <c r="F459" s="23" t="s">
        <v>909</v>
      </c>
      <c r="G459" s="7" t="str">
        <f t="shared" si="54"/>
        <v xml:space="preserve">    [Item Code] = CONVERT(varchar(20),Column6),</v>
      </c>
      <c r="H459" s="22" t="s">
        <v>53</v>
      </c>
      <c r="I459" s="22" t="s">
        <v>53</v>
      </c>
      <c r="J459" s="22" t="s">
        <v>53</v>
      </c>
      <c r="K459" s="22" t="s">
        <v>53</v>
      </c>
      <c r="L459" s="22" t="s">
        <v>53</v>
      </c>
    </row>
    <row r="460" spans="1:12">
      <c r="A460" s="9" t="str">
        <f t="shared" si="45"/>
        <v>stock_spread</v>
      </c>
      <c r="C460" s="16">
        <v>0</v>
      </c>
      <c r="G460" s="7" t="str">
        <f>"FROM Kolding.["&amp;A460&amp;"]"</f>
        <v>FROM Kolding.[stock_spread]</v>
      </c>
    </row>
    <row r="461" spans="1:12" ht="30" customHeight="1">
      <c r="A461" s="9" t="s">
        <v>1083</v>
      </c>
      <c r="B461" s="16">
        <f t="shared" ref="B461:B488" si="57">COUNTIF(E:E,E461)</f>
        <v>0</v>
      </c>
      <c r="C461" s="16">
        <f>IF(A461=A459,C459+1,0)</f>
        <v>0</v>
      </c>
      <c r="E461" s="6"/>
      <c r="F461" s="23"/>
      <c r="G461" s="14" t="str">
        <f>"CREATE VIEW Kolding_LTS.["&amp;A461&amp;"] as select "</f>
        <v xml:space="preserve">CREATE VIEW Kolding_LTS.[stock] as select </v>
      </c>
    </row>
    <row r="462" spans="1:12">
      <c r="A462" s="9" t="str">
        <f t="shared" si="45"/>
        <v>stock</v>
      </c>
      <c r="B462" s="16">
        <f t="shared" si="57"/>
        <v>5</v>
      </c>
      <c r="C462" s="16">
        <f t="shared" ref="C462:C488" si="58">IF(A462=A461,C461+1,0)</f>
        <v>1</v>
      </c>
      <c r="D462" s="16">
        <v>0</v>
      </c>
      <c r="E462" s="7" t="s">
        <v>9</v>
      </c>
      <c r="F462" s="23" t="s">
        <v>909</v>
      </c>
      <c r="G462" s="7" t="str">
        <f t="shared" si="54"/>
        <v xml:space="preserve">    [Container Id] = CONVERT(varchar(20),Column1),</v>
      </c>
      <c r="H462" s="22" t="s">
        <v>235</v>
      </c>
      <c r="I462" s="22" t="s">
        <v>236</v>
      </c>
      <c r="J462" s="22" t="s">
        <v>237</v>
      </c>
      <c r="K462" s="22" t="s">
        <v>519</v>
      </c>
      <c r="L462" s="22" t="s">
        <v>520</v>
      </c>
    </row>
    <row r="463" spans="1:12">
      <c r="A463" s="9" t="str">
        <f t="shared" si="45"/>
        <v>stock</v>
      </c>
      <c r="B463" s="16">
        <f t="shared" si="57"/>
        <v>2</v>
      </c>
      <c r="C463" s="16">
        <f t="shared" si="58"/>
        <v>2</v>
      </c>
      <c r="D463" s="16">
        <v>1</v>
      </c>
      <c r="E463" s="7" t="s">
        <v>402</v>
      </c>
      <c r="F463" s="23" t="s">
        <v>905</v>
      </c>
      <c r="G463" s="7" t="str">
        <f t="shared" si="54"/>
        <v xml:space="preserve">    [Sequence No] = CONVERT(varchar(1),Column2),</v>
      </c>
      <c r="H463" s="22">
        <v>2</v>
      </c>
      <c r="I463" s="22">
        <v>1</v>
      </c>
      <c r="J463" s="22">
        <v>1</v>
      </c>
      <c r="K463" s="22">
        <v>2</v>
      </c>
      <c r="L463" s="22">
        <v>1</v>
      </c>
    </row>
    <row r="464" spans="1:12">
      <c r="A464" s="9" t="str">
        <f t="shared" si="45"/>
        <v>stock</v>
      </c>
      <c r="B464" s="16">
        <f t="shared" si="57"/>
        <v>1</v>
      </c>
      <c r="C464" s="16">
        <f t="shared" si="58"/>
        <v>3</v>
      </c>
      <c r="D464" s="16">
        <v>2</v>
      </c>
      <c r="E464" s="10" t="s">
        <v>522</v>
      </c>
      <c r="F464" s="23" t="s">
        <v>929</v>
      </c>
      <c r="G464" s="7" t="str">
        <f t="shared" si="54"/>
        <v xml:space="preserve">    [Rotation 0] = CONVERT(datetime,Column3),</v>
      </c>
      <c r="H464" s="22" t="s">
        <v>523</v>
      </c>
      <c r="I464" s="22" t="s">
        <v>524</v>
      </c>
      <c r="J464" s="22" t="s">
        <v>525</v>
      </c>
      <c r="K464" s="22" t="s">
        <v>526</v>
      </c>
      <c r="L464" s="22" t="s">
        <v>527</v>
      </c>
    </row>
    <row r="465" spans="1:12">
      <c r="A465" s="9" t="str">
        <f t="shared" ref="A465:A555" si="59">A464</f>
        <v>stock</v>
      </c>
      <c r="B465" s="16">
        <f t="shared" si="57"/>
        <v>1</v>
      </c>
      <c r="C465" s="16">
        <f t="shared" si="58"/>
        <v>4</v>
      </c>
      <c r="D465" s="16">
        <v>3</v>
      </c>
      <c r="E465" s="10" t="s">
        <v>530</v>
      </c>
      <c r="F465" s="23" t="s">
        <v>929</v>
      </c>
      <c r="G465" s="7" t="str">
        <f t="shared" si="54"/>
        <v xml:space="preserve">    [Rotation 1] = CONVERT(datetime,Column4),</v>
      </c>
      <c r="H465" s="22" t="s">
        <v>488</v>
      </c>
      <c r="I465" s="22" t="s">
        <v>488</v>
      </c>
      <c r="J465" s="22" t="s">
        <v>488</v>
      </c>
      <c r="K465" s="22" t="s">
        <v>488</v>
      </c>
      <c r="L465" s="22" t="s">
        <v>488</v>
      </c>
    </row>
    <row r="466" spans="1:12">
      <c r="A466" s="9" t="str">
        <f t="shared" si="59"/>
        <v>stock</v>
      </c>
      <c r="B466" s="16">
        <f t="shared" si="57"/>
        <v>1</v>
      </c>
      <c r="C466" s="16">
        <f t="shared" si="58"/>
        <v>5</v>
      </c>
      <c r="D466" s="16">
        <v>4</v>
      </c>
      <c r="E466" s="10" t="s">
        <v>531</v>
      </c>
      <c r="F466" s="23" t="s">
        <v>929</v>
      </c>
      <c r="G466" s="7" t="str">
        <f t="shared" si="54"/>
        <v xml:space="preserve">    [Rotation 2] = CONVERT(datetime,Column5),</v>
      </c>
      <c r="H466" s="22" t="s">
        <v>488</v>
      </c>
      <c r="I466" s="22" t="s">
        <v>488</v>
      </c>
      <c r="J466" s="22" t="s">
        <v>488</v>
      </c>
      <c r="K466" s="22" t="s">
        <v>488</v>
      </c>
      <c r="L466" s="22" t="s">
        <v>488</v>
      </c>
    </row>
    <row r="467" spans="1:12">
      <c r="A467" s="9" t="str">
        <f t="shared" si="59"/>
        <v>stock</v>
      </c>
      <c r="B467" s="16">
        <f t="shared" si="57"/>
        <v>1</v>
      </c>
      <c r="C467" s="16">
        <f t="shared" si="58"/>
        <v>6</v>
      </c>
      <c r="D467" s="16">
        <v>5</v>
      </c>
      <c r="E467" s="10" t="s">
        <v>532</v>
      </c>
      <c r="F467" s="23" t="s">
        <v>929</v>
      </c>
      <c r="G467" s="7" t="str">
        <f t="shared" si="54"/>
        <v xml:space="preserve">    [Rotation 3] = CONVERT(datetime,Column6),</v>
      </c>
      <c r="H467" s="22" t="s">
        <v>488</v>
      </c>
      <c r="I467" s="22" t="s">
        <v>488</v>
      </c>
      <c r="J467" s="22" t="s">
        <v>488</v>
      </c>
      <c r="K467" s="22" t="s">
        <v>488</v>
      </c>
      <c r="L467" s="22" t="s">
        <v>488</v>
      </c>
    </row>
    <row r="468" spans="1:12">
      <c r="A468" s="9" t="str">
        <f t="shared" si="59"/>
        <v>stock</v>
      </c>
      <c r="B468" s="16">
        <f t="shared" si="57"/>
        <v>5</v>
      </c>
      <c r="C468" s="16">
        <f t="shared" si="58"/>
        <v>7</v>
      </c>
      <c r="D468" s="16">
        <v>6</v>
      </c>
      <c r="E468" s="7" t="s">
        <v>164</v>
      </c>
      <c r="F468" s="23" t="s">
        <v>968</v>
      </c>
      <c r="G468" s="7" t="str">
        <f t="shared" si="54"/>
        <v xml:space="preserve">    [Status] = CONVERT(varchar(32),Column7),</v>
      </c>
      <c r="H468" s="22" t="s">
        <v>533</v>
      </c>
      <c r="I468" s="22" t="s">
        <v>533</v>
      </c>
      <c r="J468" s="22" t="s">
        <v>533</v>
      </c>
      <c r="K468" s="22" t="s">
        <v>533</v>
      </c>
      <c r="L468" s="22" t="s">
        <v>533</v>
      </c>
    </row>
    <row r="469" spans="1:12">
      <c r="A469" s="9" t="str">
        <f t="shared" si="59"/>
        <v>stock</v>
      </c>
      <c r="B469" s="16">
        <f t="shared" si="57"/>
        <v>8</v>
      </c>
      <c r="C469" s="16">
        <f t="shared" si="58"/>
        <v>8</v>
      </c>
      <c r="D469" s="16">
        <v>7</v>
      </c>
      <c r="E469" s="7" t="s">
        <v>96</v>
      </c>
      <c r="F469" s="23" t="s">
        <v>931</v>
      </c>
      <c r="G469" s="7" t="str">
        <f t="shared" si="54"/>
        <v xml:space="preserve">    [Client Code] = CONVERT(varchar(10),Column8),</v>
      </c>
      <c r="H469" s="22" t="s">
        <v>256</v>
      </c>
      <c r="I469" s="22" t="s">
        <v>256</v>
      </c>
      <c r="J469" s="22" t="s">
        <v>256</v>
      </c>
      <c r="K469" s="22" t="s">
        <v>256</v>
      </c>
      <c r="L469" s="22" t="s">
        <v>256</v>
      </c>
    </row>
    <row r="470" spans="1:12">
      <c r="A470" s="9" t="str">
        <f t="shared" si="59"/>
        <v>stock</v>
      </c>
      <c r="B470" s="16">
        <f t="shared" si="57"/>
        <v>10</v>
      </c>
      <c r="C470" s="16">
        <f t="shared" si="58"/>
        <v>9</v>
      </c>
      <c r="D470" s="16">
        <v>8</v>
      </c>
      <c r="E470" s="7" t="s">
        <v>95</v>
      </c>
      <c r="F470" s="23" t="s">
        <v>906</v>
      </c>
      <c r="G470" s="7" t="str">
        <f t="shared" si="54"/>
        <v xml:space="preserve">    [Item Code] = CONVERT(int,Column9),</v>
      </c>
      <c r="H470" s="22" t="s">
        <v>534</v>
      </c>
      <c r="I470" s="22" t="s">
        <v>535</v>
      </c>
      <c r="J470" s="22" t="s">
        <v>536</v>
      </c>
      <c r="K470" s="22" t="s">
        <v>537</v>
      </c>
      <c r="L470" s="22" t="s">
        <v>538</v>
      </c>
    </row>
    <row r="471" spans="1:12">
      <c r="A471" s="9" t="str">
        <f t="shared" si="59"/>
        <v>stock</v>
      </c>
      <c r="B471" s="16">
        <f t="shared" si="57"/>
        <v>5</v>
      </c>
      <c r="C471" s="16">
        <f t="shared" si="58"/>
        <v>10</v>
      </c>
      <c r="D471" s="16">
        <v>9</v>
      </c>
      <c r="E471" s="7" t="s">
        <v>97</v>
      </c>
      <c r="F471" s="23" t="s">
        <v>908</v>
      </c>
      <c r="G471" s="7" t="str">
        <f t="shared" si="54"/>
        <v xml:space="preserve">    [Item Conf] = CONVERT(varchar(5),Column10),</v>
      </c>
      <c r="H471" s="22" t="s">
        <v>257</v>
      </c>
      <c r="I471" s="22" t="s">
        <v>257</v>
      </c>
      <c r="J471" s="22" t="s">
        <v>257</v>
      </c>
      <c r="K471" s="22" t="s">
        <v>257</v>
      </c>
      <c r="L471" s="22" t="s">
        <v>468</v>
      </c>
    </row>
    <row r="472" spans="1:12">
      <c r="A472" s="9" t="str">
        <f t="shared" si="59"/>
        <v>stock</v>
      </c>
      <c r="B472" s="16">
        <f t="shared" si="57"/>
        <v>3</v>
      </c>
      <c r="C472" s="16">
        <f t="shared" si="58"/>
        <v>11</v>
      </c>
      <c r="D472" s="16">
        <v>10</v>
      </c>
      <c r="E472" s="7" t="s">
        <v>439</v>
      </c>
      <c r="F472" s="23" t="s">
        <v>906</v>
      </c>
      <c r="G472" s="7" t="str">
        <f t="shared" si="54"/>
        <v xml:space="preserve">    [Quantity] = CONVERT(int,Column11),</v>
      </c>
      <c r="H472" s="22">
        <v>1</v>
      </c>
      <c r="I472" s="22">
        <v>3</v>
      </c>
      <c r="J472" s="22">
        <v>1</v>
      </c>
      <c r="K472" s="22">
        <v>3</v>
      </c>
      <c r="L472" s="22">
        <v>3</v>
      </c>
    </row>
    <row r="473" spans="1:12">
      <c r="A473" s="9" t="str">
        <f t="shared" si="59"/>
        <v>stock</v>
      </c>
      <c r="B473" s="16">
        <f t="shared" si="57"/>
        <v>6</v>
      </c>
      <c r="C473" s="16">
        <f t="shared" si="58"/>
        <v>12</v>
      </c>
      <c r="D473" s="16">
        <v>11</v>
      </c>
      <c r="E473" s="7" t="s">
        <v>208</v>
      </c>
      <c r="F473" s="23" t="s">
        <v>906</v>
      </c>
      <c r="G473" s="7" t="str">
        <f t="shared" si="54"/>
        <v xml:space="preserve">    [Alloc Ref] = CONVERT(int,Column12),</v>
      </c>
      <c r="H473" s="22" t="s">
        <v>231</v>
      </c>
      <c r="I473" s="22" t="s">
        <v>231</v>
      </c>
      <c r="J473" s="22" t="s">
        <v>231</v>
      </c>
      <c r="K473" s="22" t="s">
        <v>231</v>
      </c>
      <c r="L473" s="22" t="s">
        <v>231</v>
      </c>
    </row>
    <row r="474" spans="1:12">
      <c r="A474" s="9" t="str">
        <f t="shared" si="59"/>
        <v>stock</v>
      </c>
      <c r="B474" s="16">
        <f t="shared" si="57"/>
        <v>1</v>
      </c>
      <c r="C474" s="16">
        <f t="shared" si="58"/>
        <v>13</v>
      </c>
      <c r="D474" s="16">
        <v>12</v>
      </c>
      <c r="E474" s="10" t="s">
        <v>517</v>
      </c>
      <c r="F474" s="23" t="s">
        <v>998</v>
      </c>
      <c r="G474" s="7" t="str">
        <f t="shared" si="54"/>
        <v xml:space="preserve">    [Batch Ref] = CONVERT(varchar(30),Column13),</v>
      </c>
      <c r="H474" s="22" t="s">
        <v>541</v>
      </c>
      <c r="I474" s="22" t="s">
        <v>541</v>
      </c>
      <c r="J474" s="22" t="s">
        <v>541</v>
      </c>
      <c r="K474" s="22" t="s">
        <v>541</v>
      </c>
      <c r="L474" s="22" t="s">
        <v>541</v>
      </c>
    </row>
    <row r="475" spans="1:12">
      <c r="A475" s="9" t="str">
        <f t="shared" si="59"/>
        <v>stock</v>
      </c>
      <c r="B475" s="16">
        <f t="shared" si="57"/>
        <v>1</v>
      </c>
      <c r="C475" s="16">
        <f t="shared" si="58"/>
        <v>14</v>
      </c>
      <c r="D475" s="16">
        <v>13</v>
      </c>
      <c r="E475" s="10" t="s">
        <v>542</v>
      </c>
      <c r="F475" s="23" t="s">
        <v>909</v>
      </c>
      <c r="G475" s="7" t="str">
        <f t="shared" si="54"/>
        <v xml:space="preserve">    [Bond Ref] = CONVERT(varchar(20),Column14),</v>
      </c>
      <c r="H475" s="22" t="s">
        <v>53</v>
      </c>
      <c r="I475" s="22" t="s">
        <v>543</v>
      </c>
      <c r="J475" s="22" t="s">
        <v>544</v>
      </c>
      <c r="K475" s="22" t="s">
        <v>53</v>
      </c>
      <c r="L475" s="22" t="s">
        <v>545</v>
      </c>
    </row>
    <row r="476" spans="1:12">
      <c r="A476" s="9" t="str">
        <f t="shared" si="59"/>
        <v>stock</v>
      </c>
      <c r="B476" s="16">
        <f t="shared" si="57"/>
        <v>1</v>
      </c>
      <c r="C476" s="16">
        <f t="shared" si="58"/>
        <v>15</v>
      </c>
      <c r="D476" s="16">
        <v>14</v>
      </c>
      <c r="E476" s="10" t="s">
        <v>547</v>
      </c>
      <c r="F476" s="23" t="s">
        <v>929</v>
      </c>
      <c r="G476" s="7" t="str">
        <f t="shared" si="54"/>
        <v xml:space="preserve">    [Time Created] = CONVERT(datetime,Column15),</v>
      </c>
      <c r="H476" s="22" t="s">
        <v>250</v>
      </c>
      <c r="I476" s="22" t="s">
        <v>251</v>
      </c>
      <c r="J476" s="22" t="s">
        <v>252</v>
      </c>
      <c r="K476" s="22" t="s">
        <v>548</v>
      </c>
      <c r="L476" s="22" t="s">
        <v>549</v>
      </c>
    </row>
    <row r="477" spans="1:12">
      <c r="A477" s="9" t="str">
        <f t="shared" si="59"/>
        <v>stock</v>
      </c>
      <c r="B477" s="16">
        <f t="shared" si="57"/>
        <v>1</v>
      </c>
      <c r="C477" s="16">
        <f t="shared" si="58"/>
        <v>16</v>
      </c>
      <c r="D477" s="16">
        <v>15</v>
      </c>
      <c r="E477" s="10" t="s">
        <v>551</v>
      </c>
      <c r="F477" s="23" t="s">
        <v>929</v>
      </c>
      <c r="G477" s="7" t="str">
        <f t="shared" si="54"/>
        <v xml:space="preserve">    [Time Received] = CONVERT(datetime,Column16),</v>
      </c>
      <c r="H477" s="22" t="s">
        <v>552</v>
      </c>
      <c r="I477" s="22" t="s">
        <v>553</v>
      </c>
      <c r="J477" s="22" t="s">
        <v>554</v>
      </c>
      <c r="K477" s="22" t="s">
        <v>555</v>
      </c>
      <c r="L477" s="22" t="s">
        <v>556</v>
      </c>
    </row>
    <row r="478" spans="1:12">
      <c r="A478" s="9" t="str">
        <f t="shared" si="59"/>
        <v>stock</v>
      </c>
      <c r="B478" s="16">
        <f t="shared" si="57"/>
        <v>1</v>
      </c>
      <c r="C478" s="16">
        <f t="shared" si="58"/>
        <v>17</v>
      </c>
      <c r="D478" s="16">
        <v>16</v>
      </c>
      <c r="E478" s="10" t="s">
        <v>559</v>
      </c>
      <c r="F478" s="23" t="s">
        <v>929</v>
      </c>
      <c r="G478" s="7" t="str">
        <f t="shared" si="54"/>
        <v xml:space="preserve">    [Time Picked] = CONVERT(datetime,Column17),</v>
      </c>
      <c r="H478" s="22" t="s">
        <v>290</v>
      </c>
      <c r="I478" s="22" t="s">
        <v>290</v>
      </c>
      <c r="J478" s="22" t="s">
        <v>290</v>
      </c>
      <c r="K478" s="22" t="s">
        <v>290</v>
      </c>
      <c r="L478" s="22" t="s">
        <v>290</v>
      </c>
    </row>
    <row r="479" spans="1:12">
      <c r="A479" s="9" t="str">
        <f t="shared" si="59"/>
        <v>stock</v>
      </c>
      <c r="B479" s="16">
        <f t="shared" si="57"/>
        <v>1</v>
      </c>
      <c r="C479" s="16">
        <f t="shared" si="58"/>
        <v>18</v>
      </c>
      <c r="D479" s="16">
        <v>17</v>
      </c>
      <c r="E479" s="10" t="s">
        <v>560</v>
      </c>
      <c r="F479" s="23" t="s">
        <v>929</v>
      </c>
      <c r="G479" s="7" t="str">
        <f t="shared" si="54"/>
        <v xml:space="preserve">    [Time Assambled] = CONVERT(datetime,Column18),</v>
      </c>
      <c r="H479" s="22" t="s">
        <v>290</v>
      </c>
      <c r="I479" s="22" t="s">
        <v>290</v>
      </c>
      <c r="J479" s="22" t="s">
        <v>290</v>
      </c>
      <c r="K479" s="22" t="s">
        <v>290</v>
      </c>
      <c r="L479" s="22" t="s">
        <v>290</v>
      </c>
    </row>
    <row r="480" spans="1:12">
      <c r="A480" s="9" t="str">
        <f t="shared" si="59"/>
        <v>stock</v>
      </c>
      <c r="B480" s="16">
        <f t="shared" si="57"/>
        <v>1</v>
      </c>
      <c r="C480" s="16">
        <f t="shared" si="58"/>
        <v>19</v>
      </c>
      <c r="D480" s="16">
        <v>18</v>
      </c>
      <c r="E480" s="10" t="s">
        <v>561</v>
      </c>
      <c r="F480" s="23" t="s">
        <v>929</v>
      </c>
      <c r="G480" s="7" t="str">
        <f t="shared" si="54"/>
        <v xml:space="preserve">    [Time Loaded] = CONVERT(datetime,Column19),</v>
      </c>
      <c r="H480" s="22" t="s">
        <v>290</v>
      </c>
      <c r="I480" s="22" t="s">
        <v>290</v>
      </c>
      <c r="J480" s="22" t="s">
        <v>290</v>
      </c>
      <c r="K480" s="22" t="s">
        <v>290</v>
      </c>
      <c r="L480" s="22" t="s">
        <v>290</v>
      </c>
    </row>
    <row r="481" spans="1:12">
      <c r="A481" s="9" t="str">
        <f t="shared" si="59"/>
        <v>stock</v>
      </c>
      <c r="B481" s="16">
        <f t="shared" si="57"/>
        <v>1</v>
      </c>
      <c r="C481" s="16">
        <f t="shared" si="58"/>
        <v>20</v>
      </c>
      <c r="D481" s="16">
        <v>19</v>
      </c>
      <c r="E481" s="10" t="s">
        <v>562</v>
      </c>
      <c r="F481" s="23" t="s">
        <v>928</v>
      </c>
      <c r="G481" s="7" t="str">
        <f t="shared" si="54"/>
        <v xml:space="preserve">    [Receipt Ref] = CONVERT(varchar(12),Column20),</v>
      </c>
      <c r="H481" s="22" t="s">
        <v>563</v>
      </c>
      <c r="I481" s="22" t="s">
        <v>564</v>
      </c>
      <c r="J481" s="22" t="s">
        <v>565</v>
      </c>
      <c r="K481" s="22" t="s">
        <v>566</v>
      </c>
      <c r="L481" s="22" t="s">
        <v>567</v>
      </c>
    </row>
    <row r="482" spans="1:12">
      <c r="A482" s="41" t="str">
        <f t="shared" si="59"/>
        <v>stock</v>
      </c>
      <c r="B482" s="42">
        <f t="shared" si="57"/>
        <v>1</v>
      </c>
      <c r="C482" s="42">
        <f t="shared" si="58"/>
        <v>21</v>
      </c>
      <c r="D482" s="16">
        <v>20</v>
      </c>
      <c r="E482" s="43" t="s">
        <v>570</v>
      </c>
      <c r="F482" s="44" t="s">
        <v>1027</v>
      </c>
      <c r="G482" s="45" t="str">
        <f t="shared" si="54"/>
        <v xml:space="preserve">    [Receipt Line] = CONVERT(varchar(6),Column21),</v>
      </c>
      <c r="H482" s="22">
        <v>14</v>
      </c>
      <c r="I482" s="22">
        <v>10</v>
      </c>
      <c r="J482" s="22">
        <v>10</v>
      </c>
      <c r="K482" s="22">
        <v>3</v>
      </c>
      <c r="L482" s="22">
        <v>39</v>
      </c>
    </row>
    <row r="483" spans="1:12">
      <c r="A483" s="9" t="str">
        <f t="shared" si="59"/>
        <v>stock</v>
      </c>
      <c r="B483" s="16">
        <f t="shared" si="57"/>
        <v>1</v>
      </c>
      <c r="C483" s="16">
        <f t="shared" si="58"/>
        <v>22</v>
      </c>
      <c r="D483" s="16">
        <v>21</v>
      </c>
      <c r="E483" s="10" t="s">
        <v>571</v>
      </c>
      <c r="F483" s="23" t="s">
        <v>905</v>
      </c>
      <c r="G483" s="7" t="str">
        <f t="shared" si="54"/>
        <v xml:space="preserve">    [Pending Dealloc Flag] = CONVERT(varchar(1),Column22),</v>
      </c>
      <c r="H483" s="22" t="s">
        <v>241</v>
      </c>
      <c r="I483" s="22" t="s">
        <v>241</v>
      </c>
      <c r="J483" s="22" t="s">
        <v>241</v>
      </c>
      <c r="K483" s="22" t="s">
        <v>241</v>
      </c>
      <c r="L483" s="22" t="s">
        <v>241</v>
      </c>
    </row>
    <row r="484" spans="1:12">
      <c r="A484" s="9" t="str">
        <f t="shared" si="59"/>
        <v>stock</v>
      </c>
      <c r="B484" s="16">
        <f t="shared" si="57"/>
        <v>1</v>
      </c>
      <c r="C484" s="16">
        <f t="shared" si="58"/>
        <v>23</v>
      </c>
      <c r="D484" s="16">
        <v>22</v>
      </c>
      <c r="E484" s="10" t="s">
        <v>572</v>
      </c>
      <c r="F484" s="23" t="s">
        <v>904</v>
      </c>
      <c r="G484" s="7" t="str">
        <f t="shared" si="54"/>
        <v xml:space="preserve">    [Comp] = CONVERT(smallint,Column23),</v>
      </c>
      <c r="H484" s="22">
        <v>0</v>
      </c>
      <c r="I484" s="22">
        <v>0</v>
      </c>
      <c r="J484" s="22">
        <v>0</v>
      </c>
      <c r="K484" s="22">
        <v>0</v>
      </c>
      <c r="L484" s="22">
        <v>0</v>
      </c>
    </row>
    <row r="485" spans="1:12">
      <c r="A485" s="9" t="str">
        <f t="shared" si="59"/>
        <v>stock</v>
      </c>
      <c r="B485" s="16">
        <f t="shared" si="57"/>
        <v>1</v>
      </c>
      <c r="C485" s="16">
        <f t="shared" si="58"/>
        <v>24</v>
      </c>
      <c r="D485" s="16">
        <v>23</v>
      </c>
      <c r="E485" s="10" t="s">
        <v>573</v>
      </c>
      <c r="F485" s="23" t="s">
        <v>904</v>
      </c>
      <c r="G485" s="7" t="str">
        <f t="shared" si="54"/>
        <v xml:space="preserve">    [Serial Number] = CONVERT(smallint,Column24),</v>
      </c>
      <c r="H485" s="22" t="s">
        <v>231</v>
      </c>
      <c r="I485" s="22" t="s">
        <v>231</v>
      </c>
      <c r="J485" s="22" t="s">
        <v>231</v>
      </c>
      <c r="K485" s="22" t="s">
        <v>231</v>
      </c>
      <c r="L485" s="22" t="s">
        <v>231</v>
      </c>
    </row>
    <row r="486" spans="1:12">
      <c r="A486" s="9" t="str">
        <f t="shared" si="59"/>
        <v>stock</v>
      </c>
      <c r="B486" s="16">
        <f t="shared" si="57"/>
        <v>1</v>
      </c>
      <c r="C486" s="16">
        <f t="shared" si="58"/>
        <v>25</v>
      </c>
      <c r="D486" s="16">
        <v>24</v>
      </c>
      <c r="E486" s="10" t="s">
        <v>574</v>
      </c>
      <c r="F486" s="23" t="s">
        <v>908</v>
      </c>
      <c r="G486" s="7" t="str">
        <f t="shared" si="54"/>
        <v xml:space="preserve">    [Original Item Conf] = CONVERT(varchar(5),Column25),</v>
      </c>
      <c r="H486" s="22" t="s">
        <v>53</v>
      </c>
      <c r="I486" s="22" t="s">
        <v>53</v>
      </c>
      <c r="J486" s="22" t="s">
        <v>53</v>
      </c>
      <c r="K486" s="22" t="s">
        <v>53</v>
      </c>
      <c r="L486" s="22" t="s">
        <v>53</v>
      </c>
    </row>
    <row r="487" spans="1:12">
      <c r="A487" s="9" t="str">
        <f t="shared" si="59"/>
        <v>stock</v>
      </c>
      <c r="B487" s="16">
        <f t="shared" si="57"/>
        <v>1</v>
      </c>
      <c r="C487" s="16">
        <f t="shared" si="58"/>
        <v>26</v>
      </c>
      <c r="D487" s="16">
        <v>25</v>
      </c>
      <c r="E487" s="10" t="s">
        <v>575</v>
      </c>
      <c r="F487" s="23" t="s">
        <v>928</v>
      </c>
      <c r="G487" s="7" t="str">
        <f t="shared" si="54"/>
        <v xml:space="preserve">    [Country of Origin] = CONVERT(varchar(12),Column26),</v>
      </c>
      <c r="H487" s="22" t="s">
        <v>53</v>
      </c>
      <c r="I487" s="22" t="s">
        <v>53</v>
      </c>
      <c r="J487" s="22" t="s">
        <v>53</v>
      </c>
      <c r="K487" s="22" t="s">
        <v>53</v>
      </c>
      <c r="L487" s="22" t="s">
        <v>53</v>
      </c>
    </row>
    <row r="488" spans="1:12">
      <c r="A488" s="9" t="str">
        <f t="shared" si="59"/>
        <v>stock</v>
      </c>
      <c r="B488" s="16">
        <f t="shared" si="57"/>
        <v>1</v>
      </c>
      <c r="C488" s="16">
        <f t="shared" si="58"/>
        <v>27</v>
      </c>
      <c r="D488" s="16">
        <v>26</v>
      </c>
      <c r="E488" s="10" t="s">
        <v>576</v>
      </c>
      <c r="F488" s="23" t="s">
        <v>928</v>
      </c>
      <c r="G488" s="7" t="str">
        <f t="shared" si="54"/>
        <v xml:space="preserve">    [Country of Manfctre] = CONVERT(varchar(12),Column27),</v>
      </c>
      <c r="H488" s="22" t="s">
        <v>53</v>
      </c>
      <c r="I488" s="22" t="s">
        <v>53</v>
      </c>
      <c r="J488" s="22" t="s">
        <v>53</v>
      </c>
      <c r="K488" s="22" t="s">
        <v>53</v>
      </c>
      <c r="L488" s="22" t="s">
        <v>53</v>
      </c>
    </row>
    <row r="489" spans="1:12">
      <c r="A489" s="9" t="str">
        <f t="shared" si="59"/>
        <v>stock</v>
      </c>
      <c r="C489" s="16">
        <v>0</v>
      </c>
      <c r="G489" s="7" t="str">
        <f>"FROM Kolding.["&amp;A489&amp;"]"</f>
        <v>FROM Kolding.[stock]</v>
      </c>
    </row>
    <row r="490" spans="1:12" ht="30" customHeight="1">
      <c r="A490" s="9" t="s">
        <v>1084</v>
      </c>
      <c r="B490" s="16">
        <f t="shared" ref="B490:B510" si="60">COUNTIF(E:E,E490)</f>
        <v>0</v>
      </c>
      <c r="C490" s="16">
        <f>IF(A490=A488,C488+1,0)</f>
        <v>0</v>
      </c>
      <c r="E490" s="6"/>
      <c r="F490" s="23"/>
      <c r="G490" s="14" t="str">
        <f>"CREATE VIEW Kolding_LTS.["&amp;A490&amp;"] as select "</f>
        <v xml:space="preserve">CREATE VIEW Kolding_LTS.[supply] as select </v>
      </c>
    </row>
    <row r="491" spans="1:12">
      <c r="A491" s="9" t="str">
        <f t="shared" si="59"/>
        <v>supply</v>
      </c>
      <c r="B491" s="16">
        <f t="shared" si="60"/>
        <v>6</v>
      </c>
      <c r="C491" s="16">
        <f t="shared" ref="C491:C510" si="61">IF(A491=A490,C490+1,0)</f>
        <v>1</v>
      </c>
      <c r="D491" s="16">
        <v>0</v>
      </c>
      <c r="E491" s="7" t="s">
        <v>207</v>
      </c>
      <c r="F491" s="23" t="s">
        <v>932</v>
      </c>
      <c r="G491" s="7" t="str">
        <f t="shared" si="54"/>
        <v xml:space="preserve">    [Order ID] = CONVERT(varchar(40),Column1),</v>
      </c>
      <c r="H491" s="22" t="s">
        <v>578</v>
      </c>
      <c r="I491" s="22" t="s">
        <v>579</v>
      </c>
      <c r="J491" s="22" t="s">
        <v>580</v>
      </c>
      <c r="K491" s="22" t="s">
        <v>581</v>
      </c>
      <c r="L491" s="22" t="s">
        <v>582</v>
      </c>
    </row>
    <row r="492" spans="1:12">
      <c r="A492" s="9" t="str">
        <f t="shared" si="59"/>
        <v>supply</v>
      </c>
      <c r="B492" s="16">
        <f t="shared" si="60"/>
        <v>1</v>
      </c>
      <c r="C492" s="16">
        <f t="shared" si="61"/>
        <v>2</v>
      </c>
      <c r="D492" s="16">
        <v>1</v>
      </c>
      <c r="E492" s="10" t="s">
        <v>585</v>
      </c>
      <c r="F492" s="23" t="s">
        <v>931</v>
      </c>
      <c r="G492" s="7" t="str">
        <f t="shared" si="54"/>
        <v xml:space="preserve">    [Supply Type] = CONVERT(varchar(10),Column2),</v>
      </c>
      <c r="H492" s="22" t="s">
        <v>53</v>
      </c>
      <c r="I492" s="22" t="s">
        <v>53</v>
      </c>
      <c r="J492" s="22" t="s">
        <v>53</v>
      </c>
      <c r="K492" s="22" t="s">
        <v>53</v>
      </c>
      <c r="L492" s="22" t="s">
        <v>53</v>
      </c>
    </row>
    <row r="493" spans="1:12">
      <c r="A493" s="9" t="str">
        <f t="shared" si="59"/>
        <v>supply</v>
      </c>
      <c r="B493" s="16">
        <f t="shared" si="60"/>
        <v>1</v>
      </c>
      <c r="C493" s="16">
        <f t="shared" si="61"/>
        <v>3</v>
      </c>
      <c r="D493" s="16">
        <v>2</v>
      </c>
      <c r="E493" s="10" t="s">
        <v>586</v>
      </c>
      <c r="F493" s="23" t="s">
        <v>931</v>
      </c>
      <c r="G493" s="7" t="str">
        <f t="shared" si="54"/>
        <v xml:space="preserve">    [Sales Order Number] = CONVERT(varchar(10),Column3),</v>
      </c>
      <c r="H493" s="22" t="s">
        <v>587</v>
      </c>
      <c r="I493" s="22" t="s">
        <v>588</v>
      </c>
      <c r="J493" s="22" t="s">
        <v>589</v>
      </c>
      <c r="K493" s="22" t="s">
        <v>590</v>
      </c>
      <c r="L493" s="22" t="s">
        <v>591</v>
      </c>
    </row>
    <row r="494" spans="1:12">
      <c r="A494" s="9" t="str">
        <f t="shared" si="59"/>
        <v>supply</v>
      </c>
      <c r="B494" s="16">
        <f t="shared" si="60"/>
        <v>1</v>
      </c>
      <c r="C494" s="16">
        <f t="shared" si="61"/>
        <v>4</v>
      </c>
      <c r="D494" s="16">
        <v>3</v>
      </c>
      <c r="E494" s="10" t="s">
        <v>594</v>
      </c>
      <c r="F494" s="23" t="s">
        <v>932</v>
      </c>
      <c r="G494" s="7" t="str">
        <f t="shared" si="54"/>
        <v xml:space="preserve">    [Shipping Type] = CONVERT(varchar(40),Column4),</v>
      </c>
      <c r="H494" s="22" t="s">
        <v>232</v>
      </c>
      <c r="I494" s="22" t="s">
        <v>232</v>
      </c>
      <c r="J494" s="22" t="s">
        <v>232</v>
      </c>
      <c r="K494" s="22" t="s">
        <v>232</v>
      </c>
      <c r="L494" s="22" t="s">
        <v>232</v>
      </c>
    </row>
    <row r="495" spans="1:12">
      <c r="A495" s="9" t="str">
        <f t="shared" si="59"/>
        <v>supply</v>
      </c>
      <c r="B495" s="16">
        <f t="shared" si="60"/>
        <v>2</v>
      </c>
      <c r="C495" s="16">
        <f t="shared" si="61"/>
        <v>5</v>
      </c>
      <c r="D495" s="16">
        <v>4</v>
      </c>
      <c r="E495" s="7" t="s">
        <v>423</v>
      </c>
      <c r="F495" s="23" t="s">
        <v>908</v>
      </c>
      <c r="G495" s="7" t="str">
        <f t="shared" si="54"/>
        <v xml:space="preserve">    [Pick Type] = CONVERT(varchar(5),Column5),</v>
      </c>
      <c r="H495" s="22" t="s">
        <v>595</v>
      </c>
      <c r="I495" s="22" t="s">
        <v>595</v>
      </c>
      <c r="J495" s="22" t="s">
        <v>595</v>
      </c>
      <c r="K495" s="22" t="s">
        <v>595</v>
      </c>
      <c r="L495" s="22" t="s">
        <v>595</v>
      </c>
    </row>
    <row r="496" spans="1:12">
      <c r="A496" s="9" t="str">
        <f t="shared" si="59"/>
        <v>supply</v>
      </c>
      <c r="B496" s="16">
        <f t="shared" si="60"/>
        <v>2</v>
      </c>
      <c r="C496" s="16">
        <f t="shared" si="61"/>
        <v>6</v>
      </c>
      <c r="D496" s="16">
        <v>5</v>
      </c>
      <c r="E496" s="7" t="s">
        <v>29</v>
      </c>
      <c r="F496" s="23" t="s">
        <v>932</v>
      </c>
      <c r="G496" s="7" t="str">
        <f t="shared" si="54"/>
        <v xml:space="preserve">    [Carrier] = CONVERT(varchar(40),Column6),</v>
      </c>
      <c r="H496" s="22" t="s">
        <v>88</v>
      </c>
      <c r="I496" s="22" t="s">
        <v>88</v>
      </c>
      <c r="J496" s="22" t="s">
        <v>88</v>
      </c>
      <c r="K496" s="22" t="s">
        <v>61</v>
      </c>
      <c r="L496" s="22" t="s">
        <v>76</v>
      </c>
    </row>
    <row r="497" spans="1:12">
      <c r="A497" s="9" t="str">
        <f t="shared" si="59"/>
        <v>supply</v>
      </c>
      <c r="B497" s="16">
        <f t="shared" si="60"/>
        <v>2</v>
      </c>
      <c r="C497" s="16">
        <f t="shared" si="61"/>
        <v>7</v>
      </c>
      <c r="D497" s="16">
        <v>6</v>
      </c>
      <c r="E497" s="7" t="s">
        <v>36</v>
      </c>
      <c r="F497" s="23" t="s">
        <v>932</v>
      </c>
      <c r="G497" s="7" t="str">
        <f t="shared" si="54"/>
        <v xml:space="preserve">    [Sales Company ID] = CONVERT(varchar(40),Column7),</v>
      </c>
      <c r="H497" s="22" t="s">
        <v>53</v>
      </c>
      <c r="I497" s="22" t="s">
        <v>53</v>
      </c>
      <c r="J497" s="22" t="s">
        <v>53</v>
      </c>
      <c r="K497" s="22" t="s">
        <v>53</v>
      </c>
      <c r="L497" s="22" t="s">
        <v>53</v>
      </c>
    </row>
    <row r="498" spans="1:12">
      <c r="A498" s="9" t="str">
        <f t="shared" si="59"/>
        <v>supply</v>
      </c>
      <c r="B498" s="16">
        <f t="shared" si="60"/>
        <v>1</v>
      </c>
      <c r="C498" s="16">
        <f t="shared" si="61"/>
        <v>8</v>
      </c>
      <c r="D498" s="16">
        <v>7</v>
      </c>
      <c r="E498" s="10" t="s">
        <v>596</v>
      </c>
      <c r="F498" s="23" t="s">
        <v>932</v>
      </c>
      <c r="G498" s="7" t="str">
        <f t="shared" si="54"/>
        <v xml:space="preserve">    [Delivery In Total] = CONVERT(varchar(40),Column8),</v>
      </c>
      <c r="H498" s="22" t="s">
        <v>231</v>
      </c>
      <c r="I498" s="22" t="s">
        <v>231</v>
      </c>
      <c r="J498" s="22" t="s">
        <v>231</v>
      </c>
      <c r="K498" s="22" t="s">
        <v>231</v>
      </c>
      <c r="L498" s="22" t="s">
        <v>231</v>
      </c>
    </row>
    <row r="499" spans="1:12">
      <c r="A499" s="9" t="str">
        <f t="shared" si="59"/>
        <v>supply</v>
      </c>
      <c r="B499" s="16">
        <f t="shared" si="60"/>
        <v>1</v>
      </c>
      <c r="C499" s="16">
        <f t="shared" si="61"/>
        <v>9</v>
      </c>
      <c r="D499" s="16">
        <v>8</v>
      </c>
      <c r="E499" s="10" t="s">
        <v>597</v>
      </c>
      <c r="F499" s="23" t="s">
        <v>931</v>
      </c>
      <c r="G499" s="7" t="str">
        <f t="shared" si="54"/>
        <v xml:space="preserve">    [Sales Company Address] = CONVERT(varchar(10),Column9),</v>
      </c>
      <c r="H499" s="22" t="s">
        <v>53</v>
      </c>
      <c r="I499" s="22" t="s">
        <v>53</v>
      </c>
      <c r="J499" s="22" t="s">
        <v>53</v>
      </c>
      <c r="K499" s="22" t="s">
        <v>53</v>
      </c>
      <c r="L499" s="22" t="s">
        <v>53</v>
      </c>
    </row>
    <row r="500" spans="1:12">
      <c r="A500" s="9" t="str">
        <f t="shared" si="59"/>
        <v>supply</v>
      </c>
      <c r="B500" s="16">
        <f t="shared" si="60"/>
        <v>1</v>
      </c>
      <c r="C500" s="16">
        <f t="shared" si="61"/>
        <v>10</v>
      </c>
      <c r="D500" s="16">
        <v>9</v>
      </c>
      <c r="E500" s="10" t="s">
        <v>598</v>
      </c>
      <c r="F500" s="23" t="s">
        <v>946</v>
      </c>
      <c r="G500" s="7" t="str">
        <f t="shared" si="54"/>
        <v xml:space="preserve">    [External Partner Address] = CONVERT(varchar(2),Column10),</v>
      </c>
      <c r="H500" s="22" t="s">
        <v>53</v>
      </c>
      <c r="I500" s="22" t="s">
        <v>53</v>
      </c>
      <c r="J500" s="22" t="s">
        <v>53</v>
      </c>
      <c r="K500" s="22" t="s">
        <v>53</v>
      </c>
      <c r="L500" s="22" t="s">
        <v>53</v>
      </c>
    </row>
    <row r="501" spans="1:12">
      <c r="A501" s="9" t="str">
        <f t="shared" si="59"/>
        <v>supply</v>
      </c>
      <c r="B501" s="16">
        <f t="shared" si="60"/>
        <v>1</v>
      </c>
      <c r="C501" s="16">
        <f t="shared" si="61"/>
        <v>11</v>
      </c>
      <c r="D501" s="16">
        <v>10</v>
      </c>
      <c r="E501" s="10" t="s">
        <v>599</v>
      </c>
      <c r="F501" s="23" t="s">
        <v>932</v>
      </c>
      <c r="G501" s="7" t="str">
        <f t="shared" si="54"/>
        <v xml:space="preserve">    [Remark1] = CONVERT(varchar(40),Column11),</v>
      </c>
      <c r="H501" s="22" t="s">
        <v>53</v>
      </c>
      <c r="I501" s="22" t="s">
        <v>53</v>
      </c>
      <c r="J501" s="22" t="s">
        <v>53</v>
      </c>
      <c r="K501" s="22" t="s">
        <v>53</v>
      </c>
      <c r="L501" s="22" t="s">
        <v>53</v>
      </c>
    </row>
    <row r="502" spans="1:12">
      <c r="A502" s="9" t="str">
        <f t="shared" si="59"/>
        <v>supply</v>
      </c>
      <c r="B502" s="16">
        <f t="shared" si="60"/>
        <v>1</v>
      </c>
      <c r="C502" s="16">
        <f t="shared" si="61"/>
        <v>12</v>
      </c>
      <c r="D502" s="16">
        <v>11</v>
      </c>
      <c r="E502" s="10" t="s">
        <v>600</v>
      </c>
      <c r="F502" s="23" t="s">
        <v>932</v>
      </c>
      <c r="G502" s="7" t="str">
        <f t="shared" si="54"/>
        <v xml:space="preserve">    [Remark2] = CONVERT(varchar(40),Column12),</v>
      </c>
      <c r="H502" s="22" t="s">
        <v>53</v>
      </c>
      <c r="I502" s="22" t="s">
        <v>53</v>
      </c>
      <c r="J502" s="22" t="s">
        <v>53</v>
      </c>
      <c r="K502" s="22" t="s">
        <v>53</v>
      </c>
      <c r="L502" s="22" t="s">
        <v>53</v>
      </c>
    </row>
    <row r="503" spans="1:12">
      <c r="A503" s="9" t="str">
        <f t="shared" si="59"/>
        <v>supply</v>
      </c>
      <c r="B503" s="16">
        <f t="shared" si="60"/>
        <v>1</v>
      </c>
      <c r="C503" s="16">
        <f t="shared" si="61"/>
        <v>13</v>
      </c>
      <c r="D503" s="16">
        <v>12</v>
      </c>
      <c r="E503" s="10" t="s">
        <v>602</v>
      </c>
      <c r="F503" s="23" t="s">
        <v>932</v>
      </c>
      <c r="G503" s="7" t="str">
        <f t="shared" si="54"/>
        <v xml:space="preserve">    [Receiver Name] = CONVERT(varchar(40),Column13),</v>
      </c>
      <c r="H503" s="22" t="s">
        <v>53</v>
      </c>
      <c r="I503" s="22" t="s">
        <v>53</v>
      </c>
      <c r="J503" s="22" t="s">
        <v>53</v>
      </c>
      <c r="K503" s="22" t="s">
        <v>53</v>
      </c>
      <c r="L503" s="22" t="s">
        <v>53</v>
      </c>
    </row>
    <row r="504" spans="1:12">
      <c r="A504" s="9" t="str">
        <f t="shared" si="59"/>
        <v>supply</v>
      </c>
      <c r="B504" s="16">
        <f t="shared" si="60"/>
        <v>1</v>
      </c>
      <c r="C504" s="16">
        <f t="shared" si="61"/>
        <v>14</v>
      </c>
      <c r="D504" s="16">
        <v>13</v>
      </c>
      <c r="E504" s="10" t="s">
        <v>603</v>
      </c>
      <c r="F504" s="23" t="s">
        <v>932</v>
      </c>
      <c r="G504" s="7" t="str">
        <f t="shared" si="54"/>
        <v xml:space="preserve">    [Receiver Phone] = CONVERT(varchar(40),Column14),</v>
      </c>
      <c r="H504" s="22" t="s">
        <v>53</v>
      </c>
      <c r="I504" s="22" t="s">
        <v>53</v>
      </c>
      <c r="J504" s="22" t="s">
        <v>53</v>
      </c>
      <c r="K504" s="22" t="s">
        <v>53</v>
      </c>
      <c r="L504" s="22" t="s">
        <v>53</v>
      </c>
    </row>
    <row r="505" spans="1:12">
      <c r="A505" s="9" t="str">
        <f t="shared" si="59"/>
        <v>supply</v>
      </c>
      <c r="B505" s="16">
        <f t="shared" si="60"/>
        <v>1</v>
      </c>
      <c r="C505" s="16">
        <f t="shared" si="61"/>
        <v>15</v>
      </c>
      <c r="D505" s="16">
        <v>14</v>
      </c>
      <c r="E505" s="10" t="s">
        <v>604</v>
      </c>
      <c r="F505" s="23" t="s">
        <v>932</v>
      </c>
      <c r="G505" s="7" t="str">
        <f t="shared" si="54"/>
        <v xml:space="preserve">    [Pick Text] = CONVERT(varchar(40),Column15),</v>
      </c>
      <c r="H505" s="22" t="s">
        <v>88</v>
      </c>
      <c r="I505" s="22" t="s">
        <v>88</v>
      </c>
      <c r="J505" s="22" t="s">
        <v>88</v>
      </c>
      <c r="K505" s="22" t="s">
        <v>61</v>
      </c>
      <c r="L505" s="22" t="s">
        <v>76</v>
      </c>
    </row>
    <row r="506" spans="1:12">
      <c r="A506" s="9" t="str">
        <f t="shared" si="59"/>
        <v>supply</v>
      </c>
      <c r="B506" s="16">
        <f t="shared" si="60"/>
        <v>2</v>
      </c>
      <c r="C506" s="16">
        <f t="shared" si="61"/>
        <v>16</v>
      </c>
      <c r="D506" s="16">
        <v>15</v>
      </c>
      <c r="E506" s="7" t="s">
        <v>35</v>
      </c>
      <c r="F506" s="23" t="s">
        <v>931</v>
      </c>
      <c r="G506" s="7" t="str">
        <f t="shared" si="54"/>
        <v xml:space="preserve">    [Route] = CONVERT(varchar(10),Column16),</v>
      </c>
      <c r="H506" s="22" t="s">
        <v>89</v>
      </c>
      <c r="I506" s="22" t="s">
        <v>89</v>
      </c>
      <c r="J506" s="22" t="s">
        <v>89</v>
      </c>
      <c r="K506" s="22" t="s">
        <v>74</v>
      </c>
      <c r="L506" s="22" t="s">
        <v>78</v>
      </c>
    </row>
    <row r="507" spans="1:12">
      <c r="A507" s="9" t="str">
        <f t="shared" si="59"/>
        <v>supply</v>
      </c>
      <c r="B507" s="16">
        <f t="shared" si="60"/>
        <v>2</v>
      </c>
      <c r="C507" s="16">
        <f t="shared" si="61"/>
        <v>17</v>
      </c>
      <c r="D507" s="16">
        <v>16</v>
      </c>
      <c r="E507" s="7" t="s">
        <v>44</v>
      </c>
      <c r="F507" s="23" t="s">
        <v>932</v>
      </c>
      <c r="G507" s="7" t="str">
        <f t="shared" si="54"/>
        <v xml:space="preserve">    [COD Text] = CONVERT(varchar(40),Column17),</v>
      </c>
      <c r="H507" s="22" t="s">
        <v>53</v>
      </c>
      <c r="I507" s="22" t="s">
        <v>53</v>
      </c>
      <c r="J507" s="22" t="s">
        <v>53</v>
      </c>
      <c r="K507" s="22" t="s">
        <v>53</v>
      </c>
      <c r="L507" s="22" t="s">
        <v>53</v>
      </c>
    </row>
    <row r="508" spans="1:12">
      <c r="A508" s="9" t="str">
        <f t="shared" si="59"/>
        <v>supply</v>
      </c>
      <c r="B508" s="16">
        <f t="shared" si="60"/>
        <v>1</v>
      </c>
      <c r="C508" s="16">
        <f t="shared" si="61"/>
        <v>18</v>
      </c>
      <c r="D508" s="16">
        <v>17</v>
      </c>
      <c r="E508" s="10" t="s">
        <v>605</v>
      </c>
      <c r="F508" s="23" t="s">
        <v>932</v>
      </c>
      <c r="G508" s="7" t="str">
        <f t="shared" si="54"/>
        <v xml:space="preserve">    [Dist Info1] = CONVERT(varchar(40),Column18),</v>
      </c>
      <c r="H508" s="22" t="s">
        <v>53</v>
      </c>
      <c r="I508" s="22" t="s">
        <v>53</v>
      </c>
      <c r="J508" s="22" t="s">
        <v>53</v>
      </c>
      <c r="K508" s="22" t="s">
        <v>53</v>
      </c>
      <c r="L508" s="22" t="s">
        <v>53</v>
      </c>
    </row>
    <row r="509" spans="1:12">
      <c r="A509" s="9" t="str">
        <f t="shared" si="59"/>
        <v>supply</v>
      </c>
      <c r="B509" s="16">
        <f t="shared" si="60"/>
        <v>1</v>
      </c>
      <c r="C509" s="16">
        <f t="shared" si="61"/>
        <v>19</v>
      </c>
      <c r="D509" s="16">
        <v>18</v>
      </c>
      <c r="E509" s="10" t="s">
        <v>606</v>
      </c>
      <c r="F509" s="23" t="s">
        <v>932</v>
      </c>
      <c r="G509" s="7" t="str">
        <f t="shared" si="54"/>
        <v xml:space="preserve">    [Dist Info2] = CONVERT(varchar(40),Column19),</v>
      </c>
      <c r="H509" s="22" t="s">
        <v>53</v>
      </c>
      <c r="I509" s="22" t="s">
        <v>53</v>
      </c>
      <c r="J509" s="22" t="s">
        <v>53</v>
      </c>
      <c r="K509" s="22" t="s">
        <v>53</v>
      </c>
      <c r="L509" s="22" t="s">
        <v>53</v>
      </c>
    </row>
    <row r="510" spans="1:12">
      <c r="A510" s="9" t="str">
        <f t="shared" si="59"/>
        <v>supply</v>
      </c>
      <c r="B510" s="16">
        <f t="shared" si="60"/>
        <v>2</v>
      </c>
      <c r="C510" s="16">
        <f t="shared" si="61"/>
        <v>20</v>
      </c>
      <c r="D510" s="16">
        <v>19</v>
      </c>
      <c r="E510" s="7" t="s">
        <v>38</v>
      </c>
      <c r="F510" s="23" t="s">
        <v>931</v>
      </c>
      <c r="G510" s="7" t="str">
        <f t="shared" ref="G510:G578" si="62">"    ["&amp;E510 &amp;"] = CONVERT("&amp;F510&amp;",Column" &amp;C510&amp;"),"</f>
        <v xml:space="preserve">    [Zip Code Area] = CONVERT(varchar(10),Column20),</v>
      </c>
      <c r="H510" s="22" t="s">
        <v>90</v>
      </c>
      <c r="I510" s="22" t="s">
        <v>90</v>
      </c>
      <c r="J510" s="22" t="s">
        <v>90</v>
      </c>
      <c r="K510" s="22" t="s">
        <v>75</v>
      </c>
      <c r="L510" s="22" t="s">
        <v>73</v>
      </c>
    </row>
    <row r="511" spans="1:12">
      <c r="A511" s="9" t="str">
        <f t="shared" si="59"/>
        <v>supply</v>
      </c>
      <c r="C511" s="16">
        <v>0</v>
      </c>
      <c r="G511" s="7" t="str">
        <f>"FROM Kolding.["&amp;A511&amp;"]"</f>
        <v>FROM Kolding.[supply]</v>
      </c>
    </row>
    <row r="512" spans="1:12" ht="30" customHeight="1">
      <c r="A512" s="9" t="s">
        <v>1085</v>
      </c>
      <c r="B512" s="16">
        <f t="shared" ref="B512:B525" si="63">COUNTIF(E:E,E512)</f>
        <v>0</v>
      </c>
      <c r="C512" s="16">
        <v>0</v>
      </c>
      <c r="E512" s="6"/>
      <c r="F512" s="23"/>
      <c r="G512" s="14" t="str">
        <f>"CREATE VIEW Kolding_LTS.["&amp;A512&amp;"] as select "</f>
        <v xml:space="preserve">CREATE VIEW Kolding_LTS.[users] as select </v>
      </c>
    </row>
    <row r="513" spans="1:12">
      <c r="A513" s="9" t="str">
        <f t="shared" si="59"/>
        <v>users</v>
      </c>
      <c r="B513" s="16">
        <f t="shared" si="63"/>
        <v>1</v>
      </c>
      <c r="C513" s="16">
        <f t="shared" ref="C513:C525" si="64">IF(A513=A512,C512+1,0)</f>
        <v>1</v>
      </c>
      <c r="E513" s="10" t="s">
        <v>608</v>
      </c>
      <c r="F513" s="23" t="s">
        <v>968</v>
      </c>
      <c r="G513" s="7" t="str">
        <f t="shared" si="62"/>
        <v xml:space="preserve">    [Username] = CONVERT(varchar(32),Column1),</v>
      </c>
      <c r="H513" s="22" t="s">
        <v>609</v>
      </c>
      <c r="I513" s="22" t="s">
        <v>610</v>
      </c>
      <c r="J513" s="22" t="s">
        <v>611</v>
      </c>
      <c r="K513" s="22" t="s">
        <v>612</v>
      </c>
      <c r="L513" s="22" t="s">
        <v>613</v>
      </c>
    </row>
    <row r="514" spans="1:12">
      <c r="A514" s="9" t="str">
        <f t="shared" si="59"/>
        <v>users</v>
      </c>
      <c r="B514" s="16">
        <f t="shared" si="63"/>
        <v>9</v>
      </c>
      <c r="C514" s="16">
        <f t="shared" si="64"/>
        <v>2</v>
      </c>
      <c r="E514" s="7" t="s">
        <v>163</v>
      </c>
      <c r="F514" s="23" t="s">
        <v>904</v>
      </c>
      <c r="G514" s="7" t="str">
        <f t="shared" si="62"/>
        <v xml:space="preserve">    [Type] = CONVERT(smallint,Column2),</v>
      </c>
      <c r="H514" s="22">
        <v>0</v>
      </c>
      <c r="I514" s="22">
        <v>0</v>
      </c>
      <c r="J514" s="22">
        <v>0</v>
      </c>
      <c r="K514" s="22">
        <v>0</v>
      </c>
      <c r="L514" s="22">
        <v>0</v>
      </c>
    </row>
    <row r="515" spans="1:12">
      <c r="A515" s="9" t="str">
        <f t="shared" si="59"/>
        <v>users</v>
      </c>
      <c r="B515" s="16">
        <f t="shared" si="63"/>
        <v>1</v>
      </c>
      <c r="C515" s="16">
        <f t="shared" si="64"/>
        <v>3</v>
      </c>
      <c r="E515" s="10" t="s">
        <v>615</v>
      </c>
      <c r="F515" s="23" t="s">
        <v>904</v>
      </c>
      <c r="G515" s="7" t="str">
        <f t="shared" si="62"/>
        <v xml:space="preserve">    [Sequence] = CONVERT(smallint,Column3),</v>
      </c>
      <c r="H515" s="22">
        <v>0</v>
      </c>
      <c r="I515" s="22">
        <v>0</v>
      </c>
      <c r="J515" s="22">
        <v>0</v>
      </c>
      <c r="K515" s="22">
        <v>0</v>
      </c>
      <c r="L515" s="22">
        <v>0</v>
      </c>
    </row>
    <row r="516" spans="1:12">
      <c r="A516" s="9" t="str">
        <f t="shared" si="59"/>
        <v>users</v>
      </c>
      <c r="B516" s="16">
        <f t="shared" si="63"/>
        <v>1</v>
      </c>
      <c r="C516" s="16">
        <f t="shared" si="64"/>
        <v>4</v>
      </c>
      <c r="E516" s="10" t="s">
        <v>616</v>
      </c>
      <c r="F516" s="23" t="s">
        <v>909</v>
      </c>
      <c r="G516" s="7" t="str">
        <f t="shared" si="62"/>
        <v xml:space="preserve">    [Password] = CONVERT(varchar(20),Column4),</v>
      </c>
      <c r="H516" s="22" t="s">
        <v>617</v>
      </c>
      <c r="I516" s="22" t="s">
        <v>618</v>
      </c>
      <c r="J516" s="22" t="s">
        <v>619</v>
      </c>
      <c r="K516" s="22" t="s">
        <v>620</v>
      </c>
      <c r="L516" s="22" t="s">
        <v>621</v>
      </c>
    </row>
    <row r="517" spans="1:12">
      <c r="A517" s="9" t="str">
        <f t="shared" si="59"/>
        <v>users</v>
      </c>
      <c r="B517" s="16">
        <f t="shared" si="63"/>
        <v>1</v>
      </c>
      <c r="C517" s="16">
        <f t="shared" si="64"/>
        <v>5</v>
      </c>
      <c r="E517" s="10" t="s">
        <v>624</v>
      </c>
      <c r="F517" s="23" t="s">
        <v>968</v>
      </c>
      <c r="G517" s="7" t="str">
        <f t="shared" si="62"/>
        <v xml:space="preserve">    [Profile] = CONVERT(varchar(32),Column5),</v>
      </c>
      <c r="H517" s="22" t="s">
        <v>625</v>
      </c>
      <c r="I517" s="22" t="s">
        <v>626</v>
      </c>
      <c r="J517" s="22" t="s">
        <v>627</v>
      </c>
      <c r="K517" s="22" t="s">
        <v>628</v>
      </c>
      <c r="L517" s="22" t="s">
        <v>626</v>
      </c>
    </row>
    <row r="518" spans="1:12">
      <c r="A518" s="9" t="str">
        <f t="shared" si="59"/>
        <v>users</v>
      </c>
      <c r="B518" s="16">
        <f t="shared" si="63"/>
        <v>1</v>
      </c>
      <c r="C518" s="16">
        <f t="shared" si="64"/>
        <v>6</v>
      </c>
      <c r="E518" s="10" t="s">
        <v>631</v>
      </c>
      <c r="F518" s="23" t="s">
        <v>929</v>
      </c>
      <c r="G518" s="7" t="str">
        <f t="shared" si="62"/>
        <v xml:space="preserve">    [Expiry date] = CONVERT(datetime,Column6),</v>
      </c>
      <c r="H518" s="22" t="s">
        <v>632</v>
      </c>
      <c r="I518" s="22" t="s">
        <v>633</v>
      </c>
      <c r="J518" s="22" t="s">
        <v>634</v>
      </c>
      <c r="K518" s="22" t="s">
        <v>635</v>
      </c>
      <c r="L518" s="22" t="s">
        <v>636</v>
      </c>
    </row>
    <row r="519" spans="1:12">
      <c r="A519" s="9" t="str">
        <f t="shared" si="59"/>
        <v>users</v>
      </c>
      <c r="B519" s="16">
        <f t="shared" si="63"/>
        <v>1</v>
      </c>
      <c r="C519" s="16">
        <f t="shared" si="64"/>
        <v>7</v>
      </c>
      <c r="E519" s="10" t="s">
        <v>639</v>
      </c>
      <c r="F519" s="23" t="s">
        <v>906</v>
      </c>
      <c r="G519" s="7" t="str">
        <f t="shared" si="62"/>
        <v xml:space="preserve">    [Timeout] = CONVERT(int,Column7),</v>
      </c>
      <c r="H519" s="22">
        <v>60</v>
      </c>
      <c r="I519" s="22">
        <v>60</v>
      </c>
      <c r="J519" s="22">
        <v>60</v>
      </c>
      <c r="K519" s="22">
        <v>60</v>
      </c>
      <c r="L519" s="22">
        <v>60</v>
      </c>
    </row>
    <row r="520" spans="1:12">
      <c r="A520" s="9" t="str">
        <f t="shared" si="59"/>
        <v>users</v>
      </c>
      <c r="B520" s="16">
        <f t="shared" si="63"/>
        <v>1</v>
      </c>
      <c r="C520" s="16">
        <f t="shared" si="64"/>
        <v>8</v>
      </c>
      <c r="E520" s="10" t="s">
        <v>640</v>
      </c>
      <c r="F520" s="23" t="s">
        <v>972</v>
      </c>
      <c r="G520" s="7" t="str">
        <f t="shared" si="62"/>
        <v xml:space="preserve">    [Action] = CONVERT(varchar(4),Column8),</v>
      </c>
      <c r="H520" s="22" t="s">
        <v>641</v>
      </c>
      <c r="I520" s="22" t="s">
        <v>53</v>
      </c>
      <c r="J520" s="22" t="s">
        <v>53</v>
      </c>
      <c r="K520" s="22" t="s">
        <v>641</v>
      </c>
      <c r="L520" s="22" t="s">
        <v>53</v>
      </c>
    </row>
    <row r="521" spans="1:12">
      <c r="A521" s="9" t="str">
        <f t="shared" si="59"/>
        <v>users</v>
      </c>
      <c r="B521" s="16">
        <f t="shared" si="63"/>
        <v>1</v>
      </c>
      <c r="C521" s="16">
        <f t="shared" si="64"/>
        <v>9</v>
      </c>
      <c r="E521" s="10" t="s">
        <v>642</v>
      </c>
      <c r="F521" s="23" t="s">
        <v>906</v>
      </c>
      <c r="G521" s="7" t="str">
        <f t="shared" si="62"/>
        <v xml:space="preserve">    [Pwd life] = CONVERT(int,Column9),</v>
      </c>
      <c r="H521" s="22">
        <v>999</v>
      </c>
      <c r="I521" s="22">
        <v>999</v>
      </c>
      <c r="J521" s="22">
        <v>999</v>
      </c>
      <c r="K521" s="22">
        <v>999</v>
      </c>
      <c r="L521" s="22">
        <v>999</v>
      </c>
    </row>
    <row r="522" spans="1:12">
      <c r="A522" s="9" t="str">
        <f t="shared" si="59"/>
        <v>users</v>
      </c>
      <c r="B522" s="16">
        <f t="shared" si="63"/>
        <v>5</v>
      </c>
      <c r="C522" s="16">
        <f t="shared" si="64"/>
        <v>10</v>
      </c>
      <c r="E522" s="7" t="s">
        <v>164</v>
      </c>
      <c r="F522" s="23" t="s">
        <v>904</v>
      </c>
      <c r="G522" s="7" t="str">
        <f t="shared" si="62"/>
        <v xml:space="preserve">    [Status] = CONVERT(smallint,Column10),</v>
      </c>
      <c r="H522" s="22">
        <v>0</v>
      </c>
      <c r="I522" s="22">
        <v>0</v>
      </c>
      <c r="J522" s="22">
        <v>0</v>
      </c>
      <c r="K522" s="22">
        <v>0</v>
      </c>
      <c r="L522" s="22">
        <v>0</v>
      </c>
    </row>
    <row r="523" spans="1:12">
      <c r="A523" s="9" t="str">
        <f t="shared" si="59"/>
        <v>users</v>
      </c>
      <c r="B523" s="16">
        <f t="shared" si="63"/>
        <v>1</v>
      </c>
      <c r="C523" s="16">
        <f t="shared" si="64"/>
        <v>11</v>
      </c>
      <c r="E523" s="10" t="s">
        <v>643</v>
      </c>
      <c r="F523" s="23" t="s">
        <v>904</v>
      </c>
      <c r="G523" s="7" t="str">
        <f t="shared" si="62"/>
        <v xml:space="preserve">    [Options] = CONVERT(smallint,Column11),</v>
      </c>
      <c r="H523" s="22">
        <v>0</v>
      </c>
      <c r="I523" s="22">
        <v>0</v>
      </c>
      <c r="J523" s="22">
        <v>0</v>
      </c>
      <c r="K523" s="22">
        <v>0</v>
      </c>
      <c r="L523" s="22">
        <v>0</v>
      </c>
    </row>
    <row r="524" spans="1:12">
      <c r="A524" s="9" t="str">
        <f t="shared" si="59"/>
        <v>users</v>
      </c>
      <c r="B524" s="16">
        <f t="shared" si="63"/>
        <v>1</v>
      </c>
      <c r="C524" s="16">
        <f t="shared" si="64"/>
        <v>12</v>
      </c>
      <c r="E524" s="10" t="s">
        <v>644</v>
      </c>
      <c r="F524" s="23" t="s">
        <v>972</v>
      </c>
      <c r="G524" s="7" t="str">
        <f t="shared" si="62"/>
        <v xml:space="preserve">    [Shortcut] = CONVERT(varchar(4),Column12),</v>
      </c>
      <c r="H524" s="22" t="s">
        <v>645</v>
      </c>
      <c r="I524" s="22" t="s">
        <v>646</v>
      </c>
      <c r="J524" s="22" t="s">
        <v>647</v>
      </c>
      <c r="K524" s="22" t="s">
        <v>648</v>
      </c>
      <c r="L524" s="22" t="s">
        <v>649</v>
      </c>
    </row>
    <row r="525" spans="1:12">
      <c r="A525" s="9" t="str">
        <f t="shared" si="59"/>
        <v>users</v>
      </c>
      <c r="B525" s="16">
        <f t="shared" si="63"/>
        <v>1</v>
      </c>
      <c r="C525" s="16">
        <f t="shared" si="64"/>
        <v>13</v>
      </c>
      <c r="E525" s="10" t="s">
        <v>652</v>
      </c>
      <c r="F525" s="23" t="s">
        <v>928</v>
      </c>
      <c r="G525" s="7" t="str">
        <f t="shared" si="62"/>
        <v xml:space="preserve">    [Locale] = CONVERT(varchar(12),Column13),</v>
      </c>
      <c r="H525" s="22" t="s">
        <v>653</v>
      </c>
      <c r="I525" s="22" t="s">
        <v>653</v>
      </c>
      <c r="J525" s="22" t="s">
        <v>653</v>
      </c>
      <c r="K525" s="22" t="s">
        <v>653</v>
      </c>
      <c r="L525" s="22" t="s">
        <v>653</v>
      </c>
    </row>
    <row r="526" spans="1:12">
      <c r="A526" s="9" t="str">
        <f t="shared" si="59"/>
        <v>users</v>
      </c>
      <c r="C526" s="16">
        <v>0</v>
      </c>
      <c r="G526" s="7" t="str">
        <f>"FROM Kolding.["&amp;A526&amp;"]"</f>
        <v>FROM Kolding.[users]</v>
      </c>
    </row>
    <row r="527" spans="1:12" ht="30" customHeight="1">
      <c r="A527" s="9" t="s">
        <v>1086</v>
      </c>
      <c r="B527" s="16">
        <f t="shared" ref="B527:B541" si="65">COUNTIF(E:E,E527)</f>
        <v>0</v>
      </c>
      <c r="C527" s="16">
        <v>0</v>
      </c>
      <c r="E527" s="18"/>
      <c r="F527" s="23"/>
      <c r="G527" s="14" t="str">
        <f>"CREATE VIEW Kolding_LTS.["&amp;A527&amp;"] as select "</f>
        <v xml:space="preserve">CREATE VIEW Kolding_LTS.[wcs_alloc_priority] as select </v>
      </c>
      <c r="H527" s="22"/>
      <c r="I527" s="27"/>
      <c r="J527" s="27"/>
      <c r="K527" s="27"/>
      <c r="L527" s="27"/>
    </row>
    <row r="528" spans="1:12">
      <c r="A528" s="9" t="str">
        <f>A527</f>
        <v>wcs_alloc_priority</v>
      </c>
      <c r="B528" s="16">
        <f t="shared" si="65"/>
        <v>2</v>
      </c>
      <c r="C528" s="16">
        <v>1</v>
      </c>
      <c r="E528" s="18" t="s">
        <v>1145</v>
      </c>
      <c r="F528" s="23" t="s">
        <v>908</v>
      </c>
      <c r="G528" s="7" t="str">
        <f t="shared" si="62"/>
        <v xml:space="preserve">    [Column1] = CONVERT(varchar(5),Column1),</v>
      </c>
      <c r="H528" s="22" t="s">
        <v>944</v>
      </c>
      <c r="I528" s="27"/>
      <c r="J528" s="27"/>
      <c r="K528" s="27"/>
      <c r="L528" s="27"/>
    </row>
    <row r="529" spans="1:12">
      <c r="A529" s="9" t="str">
        <f t="shared" ref="A529:A542" si="66">A528</f>
        <v>wcs_alloc_priority</v>
      </c>
      <c r="B529" s="16">
        <f t="shared" si="65"/>
        <v>1</v>
      </c>
      <c r="C529" s="16">
        <v>2</v>
      </c>
      <c r="E529" s="18" t="s">
        <v>1146</v>
      </c>
      <c r="F529" s="23" t="s">
        <v>904</v>
      </c>
      <c r="G529" s="7" t="str">
        <f t="shared" si="62"/>
        <v xml:space="preserve">    [Column2] = CONVERT(smallint,Column2),</v>
      </c>
      <c r="H529" s="22">
        <v>3</v>
      </c>
      <c r="I529" s="27"/>
      <c r="J529" s="27"/>
      <c r="K529" s="27"/>
      <c r="L529" s="27"/>
    </row>
    <row r="530" spans="1:12">
      <c r="A530" s="9" t="str">
        <f t="shared" si="66"/>
        <v>wcs_alloc_priority</v>
      </c>
      <c r="B530" s="16">
        <f t="shared" si="65"/>
        <v>1</v>
      </c>
      <c r="C530" s="16">
        <v>3</v>
      </c>
      <c r="E530" s="18" t="s">
        <v>1147</v>
      </c>
      <c r="F530" s="23" t="s">
        <v>904</v>
      </c>
      <c r="G530" s="7" t="str">
        <f t="shared" si="62"/>
        <v xml:space="preserve">    [Column3] = CONVERT(smallint,Column3),</v>
      </c>
      <c r="H530" s="22">
        <v>7</v>
      </c>
      <c r="I530" s="27"/>
      <c r="J530" s="27"/>
      <c r="K530" s="27"/>
      <c r="L530" s="27"/>
    </row>
    <row r="531" spans="1:12">
      <c r="A531" s="9" t="str">
        <f t="shared" si="66"/>
        <v>wcs_alloc_priority</v>
      </c>
      <c r="B531" s="16">
        <f t="shared" si="65"/>
        <v>1</v>
      </c>
      <c r="C531" s="16">
        <v>4</v>
      </c>
      <c r="E531" s="18" t="s">
        <v>1148</v>
      </c>
      <c r="F531" s="23" t="s">
        <v>904</v>
      </c>
      <c r="G531" s="7" t="str">
        <f t="shared" si="62"/>
        <v xml:space="preserve">    [Column4] = CONVERT(smallint,Column4),</v>
      </c>
      <c r="H531" s="22">
        <v>5</v>
      </c>
      <c r="I531" s="27"/>
      <c r="J531" s="27"/>
      <c r="K531" s="27"/>
      <c r="L531" s="27"/>
    </row>
    <row r="532" spans="1:12">
      <c r="A532" s="9" t="str">
        <f t="shared" si="66"/>
        <v>wcs_alloc_priority</v>
      </c>
      <c r="B532" s="16">
        <f t="shared" si="65"/>
        <v>1</v>
      </c>
      <c r="C532" s="16">
        <v>5</v>
      </c>
      <c r="E532" s="18" t="s">
        <v>1149</v>
      </c>
      <c r="F532" s="23" t="s">
        <v>904</v>
      </c>
      <c r="G532" s="7" t="str">
        <f t="shared" si="62"/>
        <v xml:space="preserve">    [Column5] = CONVERT(smallint,Column5),</v>
      </c>
      <c r="H532" s="22">
        <v>6</v>
      </c>
      <c r="I532" s="27"/>
      <c r="J532" s="27"/>
      <c r="K532" s="27"/>
      <c r="L532" s="27"/>
    </row>
    <row r="533" spans="1:12">
      <c r="A533" s="9" t="str">
        <f t="shared" si="66"/>
        <v>wcs_alloc_priority</v>
      </c>
      <c r="B533" s="16">
        <f t="shared" si="65"/>
        <v>1</v>
      </c>
      <c r="C533" s="16">
        <v>6</v>
      </c>
      <c r="E533" s="18" t="s">
        <v>1150</v>
      </c>
      <c r="F533" s="23" t="s">
        <v>904</v>
      </c>
      <c r="G533" s="7" t="str">
        <f t="shared" si="62"/>
        <v xml:space="preserve">    [Column6] = CONVERT(smallint,Column6),</v>
      </c>
      <c r="H533" s="22">
        <v>4</v>
      </c>
      <c r="I533" s="27"/>
      <c r="J533" s="27"/>
      <c r="K533" s="27"/>
      <c r="L533" s="27"/>
    </row>
    <row r="534" spans="1:12">
      <c r="A534" s="9" t="str">
        <f t="shared" si="66"/>
        <v>wcs_alloc_priority</v>
      </c>
      <c r="B534" s="16">
        <f t="shared" si="65"/>
        <v>1</v>
      </c>
      <c r="C534" s="16">
        <v>7</v>
      </c>
      <c r="E534" s="18" t="s">
        <v>1151</v>
      </c>
      <c r="F534" s="23" t="s">
        <v>904</v>
      </c>
      <c r="G534" s="7" t="str">
        <f t="shared" si="62"/>
        <v xml:space="preserve">    [Column7] = CONVERT(smallint,Column7),</v>
      </c>
      <c r="H534" s="22">
        <v>1</v>
      </c>
      <c r="I534" s="27"/>
      <c r="J534" s="27"/>
      <c r="K534" s="27"/>
      <c r="L534" s="27"/>
    </row>
    <row r="535" spans="1:12">
      <c r="A535" s="9" t="str">
        <f t="shared" si="66"/>
        <v>wcs_alloc_priority</v>
      </c>
      <c r="B535" s="16">
        <f t="shared" si="65"/>
        <v>1</v>
      </c>
      <c r="C535" s="16">
        <v>8</v>
      </c>
      <c r="E535" s="18" t="s">
        <v>1152</v>
      </c>
      <c r="F535" s="23" t="s">
        <v>904</v>
      </c>
      <c r="G535" s="7" t="str">
        <f t="shared" si="62"/>
        <v xml:space="preserve">    [Column8] = CONVERT(smallint,Column8),</v>
      </c>
      <c r="H535" s="22">
        <v>2</v>
      </c>
      <c r="I535" s="27"/>
      <c r="J535" s="27"/>
      <c r="K535" s="27"/>
      <c r="L535" s="27"/>
    </row>
    <row r="536" spans="1:12">
      <c r="A536" s="9" t="str">
        <f t="shared" si="66"/>
        <v>wcs_alloc_priority</v>
      </c>
      <c r="B536" s="16">
        <f t="shared" si="65"/>
        <v>1</v>
      </c>
      <c r="C536" s="16">
        <v>9</v>
      </c>
      <c r="E536" s="18" t="s">
        <v>1153</v>
      </c>
      <c r="F536" s="23" t="s">
        <v>904</v>
      </c>
      <c r="G536" s="7" t="str">
        <f t="shared" si="62"/>
        <v xml:space="preserve">    [Column9] = CONVERT(smallint,Column9),</v>
      </c>
      <c r="I536" s="27"/>
      <c r="J536" s="27"/>
      <c r="K536" s="27"/>
      <c r="L536" s="27"/>
    </row>
    <row r="537" spans="1:12">
      <c r="A537" s="9" t="str">
        <f t="shared" si="66"/>
        <v>wcs_alloc_priority</v>
      </c>
      <c r="B537" s="16">
        <f t="shared" si="65"/>
        <v>1</v>
      </c>
      <c r="C537" s="16">
        <v>10</v>
      </c>
      <c r="E537" s="18" t="s">
        <v>1154</v>
      </c>
      <c r="F537" s="23" t="s">
        <v>906</v>
      </c>
      <c r="G537" s="7" t="str">
        <f t="shared" si="62"/>
        <v xml:space="preserve">    [Column10] = CONVERT(int,Column10),</v>
      </c>
      <c r="I537" s="27"/>
      <c r="J537" s="27"/>
      <c r="K537" s="27"/>
      <c r="L537" s="27"/>
    </row>
    <row r="538" spans="1:12">
      <c r="A538" s="9" t="str">
        <f t="shared" si="66"/>
        <v>wcs_alloc_priority</v>
      </c>
      <c r="B538" s="16">
        <f t="shared" si="65"/>
        <v>1</v>
      </c>
      <c r="C538" s="16">
        <v>11</v>
      </c>
      <c r="E538" s="18" t="s">
        <v>1155</v>
      </c>
      <c r="F538" s="23" t="s">
        <v>936</v>
      </c>
      <c r="G538" s="7" t="str">
        <f t="shared" si="62"/>
        <v xml:space="preserve">    [Column11] = CONVERT(decimal(18,3),Column11),</v>
      </c>
      <c r="I538" s="27"/>
      <c r="J538" s="27"/>
      <c r="K538" s="27"/>
      <c r="L538" s="27"/>
    </row>
    <row r="539" spans="1:12">
      <c r="A539" s="9" t="str">
        <f t="shared" si="66"/>
        <v>wcs_alloc_priority</v>
      </c>
      <c r="B539" s="16">
        <f t="shared" si="65"/>
        <v>1</v>
      </c>
      <c r="C539" s="16">
        <v>12</v>
      </c>
      <c r="E539" s="18" t="s">
        <v>1156</v>
      </c>
      <c r="F539" s="23" t="s">
        <v>906</v>
      </c>
      <c r="G539" s="7" t="str">
        <f t="shared" si="62"/>
        <v xml:space="preserve">    [Column12] = CONVERT(int,Column12),</v>
      </c>
      <c r="I539" s="27"/>
      <c r="J539" s="27"/>
      <c r="K539" s="27"/>
      <c r="L539" s="27"/>
    </row>
    <row r="540" spans="1:12">
      <c r="A540" s="9" t="str">
        <f t="shared" si="66"/>
        <v>wcs_alloc_priority</v>
      </c>
      <c r="B540" s="16">
        <f t="shared" si="65"/>
        <v>1</v>
      </c>
      <c r="C540" s="16">
        <v>13</v>
      </c>
      <c r="E540" s="18" t="s">
        <v>1157</v>
      </c>
      <c r="F540" s="23" t="s">
        <v>906</v>
      </c>
      <c r="G540" s="7" t="str">
        <f t="shared" si="62"/>
        <v xml:space="preserve">    [Column13] = CONVERT(int,Column13),</v>
      </c>
      <c r="I540" s="27"/>
      <c r="J540" s="27"/>
      <c r="K540" s="27"/>
      <c r="L540" s="27"/>
    </row>
    <row r="541" spans="1:12">
      <c r="A541" s="9" t="str">
        <f t="shared" si="66"/>
        <v>wcs_alloc_priority</v>
      </c>
      <c r="B541" s="16">
        <f t="shared" si="65"/>
        <v>1</v>
      </c>
      <c r="C541" s="16">
        <v>14</v>
      </c>
      <c r="E541" s="18" t="s">
        <v>1158</v>
      </c>
      <c r="F541" s="23" t="s">
        <v>904</v>
      </c>
      <c r="G541" s="7" t="str">
        <f t="shared" si="62"/>
        <v xml:space="preserve">    [Column14] = CONVERT(smallint,Column14),</v>
      </c>
      <c r="I541" s="27"/>
      <c r="J541" s="27"/>
      <c r="K541" s="27"/>
      <c r="L541" s="27"/>
    </row>
    <row r="542" spans="1:12">
      <c r="A542" s="9" t="str">
        <f t="shared" si="66"/>
        <v>wcs_alloc_priority</v>
      </c>
      <c r="C542" s="16">
        <v>0</v>
      </c>
      <c r="G542" s="7" t="str">
        <f>"FROM Kolding.["&amp;A542&amp;"]"</f>
        <v>FROM Kolding.[wcs_alloc_priority]</v>
      </c>
    </row>
    <row r="543" spans="1:12" ht="30" customHeight="1">
      <c r="A543" s="9" t="s">
        <v>1087</v>
      </c>
      <c r="B543" s="16">
        <f t="shared" ref="B543:B549" si="67">COUNTIF(E:E,E543)</f>
        <v>0</v>
      </c>
      <c r="E543" s="18"/>
      <c r="F543" s="23"/>
      <c r="G543" s="14" t="str">
        <f>"CREATE VIEW Kolding_LTS.["&amp;A543&amp;"] as select "</f>
        <v xml:space="preserve">CREATE VIEW Kolding_LTS.[wcs_alloc_zone_wt] as select </v>
      </c>
    </row>
    <row r="544" spans="1:12">
      <c r="A544" s="9" t="str">
        <f>A543</f>
        <v>wcs_alloc_zone_wt</v>
      </c>
      <c r="B544" s="16">
        <f>COUNTIF(E:E,E544)</f>
        <v>1</v>
      </c>
      <c r="C544" s="16">
        <v>1</v>
      </c>
      <c r="E544" s="18" t="s">
        <v>1184</v>
      </c>
      <c r="F544" s="23" t="s">
        <v>908</v>
      </c>
      <c r="G544" s="7" t="str">
        <f>"    ["&amp;E544 &amp;"] = CONVERT("&amp;F544&amp;",Column" &amp;C544&amp;"),"</f>
        <v xml:space="preserve">    [OrderType] = CONVERT(varchar(5),Column1),</v>
      </c>
      <c r="H544" s="5" t="s">
        <v>944</v>
      </c>
      <c r="I544" s="5" t="s">
        <v>944</v>
      </c>
      <c r="J544" s="5" t="s">
        <v>944</v>
      </c>
      <c r="K544" s="5" t="s">
        <v>944</v>
      </c>
      <c r="L544" s="5" t="s">
        <v>944</v>
      </c>
    </row>
    <row r="545" spans="1:12">
      <c r="A545" s="9" t="str">
        <f t="shared" ref="A545:A550" si="68">A544</f>
        <v>wcs_alloc_zone_wt</v>
      </c>
      <c r="B545" s="16">
        <f>COUNTIF(E:E,E545)</f>
        <v>4</v>
      </c>
      <c r="C545" s="16">
        <v>2</v>
      </c>
      <c r="E545" s="18" t="s">
        <v>203</v>
      </c>
      <c r="F545" s="23" t="s">
        <v>904</v>
      </c>
      <c r="G545" s="7" t="str">
        <f>"    ["&amp;E545 &amp;"] = CONVERT("&amp;F545&amp;",Column" &amp;C545&amp;"),"</f>
        <v xml:space="preserve">    [Zone] = CONVERT(smallint,Column2),</v>
      </c>
      <c r="H545" s="5">
        <v>1</v>
      </c>
      <c r="I545" s="5">
        <v>1</v>
      </c>
      <c r="J545" s="5">
        <v>1</v>
      </c>
      <c r="K545" s="5">
        <v>1</v>
      </c>
      <c r="L545" s="5">
        <v>1</v>
      </c>
    </row>
    <row r="546" spans="1:12">
      <c r="A546" s="9" t="str">
        <f t="shared" si="68"/>
        <v>wcs_alloc_zone_wt</v>
      </c>
      <c r="B546" s="16">
        <f>COUNTIF(E:E,E546)</f>
        <v>7</v>
      </c>
      <c r="C546" s="16">
        <v>3</v>
      </c>
      <c r="E546" s="18" t="s">
        <v>185</v>
      </c>
      <c r="F546" s="23" t="s">
        <v>904</v>
      </c>
      <c r="G546" s="7" t="str">
        <f>"    ["&amp;E546 &amp;"] = CONVERT("&amp;F546&amp;",Column" &amp;C546&amp;"),"</f>
        <v xml:space="preserve">    [Priority] = CONVERT(smallint,Column3),</v>
      </c>
      <c r="H546" s="5">
        <v>1</v>
      </c>
      <c r="I546" s="5">
        <v>2</v>
      </c>
      <c r="J546" s="5">
        <v>3</v>
      </c>
      <c r="K546" s="5">
        <v>4</v>
      </c>
      <c r="L546" s="5">
        <v>5</v>
      </c>
    </row>
    <row r="547" spans="1:12">
      <c r="A547" s="9" t="str">
        <f t="shared" si="68"/>
        <v>wcs_alloc_zone_wt</v>
      </c>
      <c r="B547" s="16">
        <f>COUNTIF(E:E,E547)</f>
        <v>4</v>
      </c>
      <c r="C547" s="16">
        <v>4</v>
      </c>
      <c r="E547" s="18" t="s">
        <v>5</v>
      </c>
      <c r="F547" s="23" t="s">
        <v>936</v>
      </c>
      <c r="G547" s="7" t="str">
        <f>"    ["&amp;E547 &amp;"] = CONVERT("&amp;F547&amp;",Column" &amp;C547&amp;"),"</f>
        <v xml:space="preserve">    [Weight] = CONVERT(decimal(18,3),Column4),</v>
      </c>
      <c r="H547" s="5">
        <v>95000</v>
      </c>
      <c r="I547" s="5">
        <v>94000</v>
      </c>
      <c r="J547" s="5">
        <v>93000</v>
      </c>
      <c r="K547" s="5">
        <v>92000</v>
      </c>
      <c r="L547" s="5">
        <v>90000</v>
      </c>
    </row>
    <row r="548" spans="1:12">
      <c r="A548" s="9" t="str">
        <f t="shared" si="68"/>
        <v>wcs_alloc_zone_wt</v>
      </c>
      <c r="B548" s="16">
        <f t="shared" si="67"/>
        <v>3</v>
      </c>
      <c r="C548" s="16">
        <v>5</v>
      </c>
      <c r="E548" s="18" t="s">
        <v>1185</v>
      </c>
      <c r="F548" s="23" t="s">
        <v>937</v>
      </c>
      <c r="G548" s="7" t="str">
        <f t="shared" si="62"/>
        <v xml:space="preserve">    [value] = CONVERT(varchar(80),Column5),</v>
      </c>
      <c r="H548" s="5" t="s">
        <v>1028</v>
      </c>
      <c r="I548" s="5" t="s">
        <v>1029</v>
      </c>
      <c r="J548" s="5" t="s">
        <v>1030</v>
      </c>
      <c r="K548" s="5" t="s">
        <v>1031</v>
      </c>
      <c r="L548" s="5" t="s">
        <v>1032</v>
      </c>
    </row>
    <row r="549" spans="1:12">
      <c r="A549" s="9" t="str">
        <f t="shared" si="68"/>
        <v>wcs_alloc_zone_wt</v>
      </c>
      <c r="B549" s="16">
        <f t="shared" si="67"/>
        <v>1</v>
      </c>
      <c r="C549" s="16">
        <v>6</v>
      </c>
      <c r="E549" s="18" t="s">
        <v>1186</v>
      </c>
      <c r="F549" s="23" t="s">
        <v>904</v>
      </c>
      <c r="G549" s="7" t="str">
        <f t="shared" si="62"/>
        <v xml:space="preserve">    [heigestAmount] = CONVERT(smallint,Column6),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</row>
    <row r="550" spans="1:12">
      <c r="A550" s="9" t="str">
        <f t="shared" si="68"/>
        <v>wcs_alloc_zone_wt</v>
      </c>
      <c r="C550" s="16">
        <v>0</v>
      </c>
      <c r="G550" s="7" t="str">
        <f>"FROM Kolding.["&amp;A550&amp;"]"</f>
        <v>FROM Kolding.[wcs_alloc_zone_wt]</v>
      </c>
    </row>
    <row r="551" spans="1:12" ht="30" customHeight="1">
      <c r="A551" s="9" t="s">
        <v>1088</v>
      </c>
      <c r="B551" s="16">
        <f t="shared" ref="B551:B573" si="69">COUNTIF(E:E,E551)</f>
        <v>0</v>
      </c>
      <c r="C551" s="16">
        <f>IF(A551=A525,C525+1,0)</f>
        <v>0</v>
      </c>
      <c r="E551" s="6"/>
      <c r="F551" s="23"/>
      <c r="G551" s="14" t="str">
        <f>"CREATE VIEW Kolding_LTS.["&amp;A551&amp;"] as select "</f>
        <v xml:space="preserve">CREATE VIEW Kolding_LTS.[wms_order_line] as select </v>
      </c>
    </row>
    <row r="552" spans="1:12">
      <c r="A552" s="9" t="str">
        <f t="shared" si="59"/>
        <v>wms_order_line</v>
      </c>
      <c r="B552" s="16">
        <f t="shared" si="69"/>
        <v>6</v>
      </c>
      <c r="C552" s="16">
        <f t="shared" ref="C552:C573" si="70">IF(A552=A551,C551+1,0)</f>
        <v>1</v>
      </c>
      <c r="E552" s="7" t="s">
        <v>207</v>
      </c>
      <c r="F552" s="23" t="s">
        <v>906</v>
      </c>
      <c r="G552" s="7" t="str">
        <f t="shared" si="62"/>
        <v xml:space="preserve">    [Order ID] = CONVERT(int,Column1),</v>
      </c>
      <c r="H552" s="22" t="s">
        <v>655</v>
      </c>
      <c r="I552" s="22" t="s">
        <v>655</v>
      </c>
      <c r="J552" s="22" t="s">
        <v>655</v>
      </c>
      <c r="K552" s="22" t="s">
        <v>655</v>
      </c>
      <c r="L552" s="22" t="s">
        <v>655</v>
      </c>
    </row>
    <row r="553" spans="1:12">
      <c r="A553" s="9" t="str">
        <f t="shared" si="59"/>
        <v>wms_order_line</v>
      </c>
      <c r="B553" s="16">
        <f t="shared" si="69"/>
        <v>1</v>
      </c>
      <c r="C553" s="16">
        <f t="shared" si="70"/>
        <v>2</v>
      </c>
      <c r="E553" s="10" t="s">
        <v>656</v>
      </c>
      <c r="F553" s="23" t="s">
        <v>906</v>
      </c>
      <c r="G553" s="7" t="str">
        <f t="shared" si="62"/>
        <v xml:space="preserve">    [Line] = CONVERT(int,Column2),</v>
      </c>
      <c r="H553" s="22">
        <v>10</v>
      </c>
      <c r="I553" s="22">
        <v>20</v>
      </c>
      <c r="J553" s="22">
        <v>30</v>
      </c>
      <c r="K553" s="22">
        <v>40</v>
      </c>
      <c r="L553" s="22">
        <v>50</v>
      </c>
    </row>
    <row r="554" spans="1:12">
      <c r="A554" s="9" t="str">
        <f t="shared" si="59"/>
        <v>wms_order_line</v>
      </c>
      <c r="B554" s="16">
        <f t="shared" si="69"/>
        <v>5</v>
      </c>
      <c r="C554" s="16">
        <f t="shared" si="70"/>
        <v>3</v>
      </c>
      <c r="E554" s="7" t="s">
        <v>164</v>
      </c>
      <c r="F554" s="23" t="s">
        <v>905</v>
      </c>
      <c r="G554" s="7" t="str">
        <f t="shared" si="62"/>
        <v xml:space="preserve">    [Status] = CONVERT(varchar(1),Column3),</v>
      </c>
      <c r="H554" s="22" t="s">
        <v>657</v>
      </c>
      <c r="I554" s="22" t="s">
        <v>657</v>
      </c>
      <c r="J554" s="22" t="s">
        <v>657</v>
      </c>
      <c r="K554" s="22" t="s">
        <v>657</v>
      </c>
      <c r="L554" s="22" t="s">
        <v>657</v>
      </c>
    </row>
    <row r="555" spans="1:12">
      <c r="A555" s="9" t="str">
        <f t="shared" si="59"/>
        <v>wms_order_line</v>
      </c>
      <c r="B555" s="16">
        <f t="shared" si="69"/>
        <v>6</v>
      </c>
      <c r="C555" s="16">
        <f t="shared" si="70"/>
        <v>4</v>
      </c>
      <c r="E555" s="7" t="s">
        <v>208</v>
      </c>
      <c r="F555" s="23" t="s">
        <v>906</v>
      </c>
      <c r="G555" s="7" t="str">
        <f t="shared" si="62"/>
        <v xml:space="preserve">    [Alloc Ref] = CONVERT(int,Column4),</v>
      </c>
      <c r="H555" s="22" t="s">
        <v>658</v>
      </c>
      <c r="I555" s="22" t="s">
        <v>659</v>
      </c>
      <c r="J555" s="22" t="s">
        <v>660</v>
      </c>
      <c r="K555" s="22" t="s">
        <v>661</v>
      </c>
      <c r="L555" s="22" t="s">
        <v>662</v>
      </c>
    </row>
    <row r="556" spans="1:12">
      <c r="A556" s="9" t="str">
        <f t="shared" ref="A556:A622" si="71">A555</f>
        <v>wms_order_line</v>
      </c>
      <c r="B556" s="16">
        <f t="shared" si="69"/>
        <v>1</v>
      </c>
      <c r="C556" s="16">
        <f t="shared" si="70"/>
        <v>5</v>
      </c>
      <c r="E556" s="10" t="s">
        <v>663</v>
      </c>
      <c r="F556" s="23" t="s">
        <v>906</v>
      </c>
      <c r="G556" s="7" t="str">
        <f t="shared" si="62"/>
        <v xml:space="preserve">    [Expected] = CONVERT(int,Column5),</v>
      </c>
      <c r="H556" s="22">
        <v>2</v>
      </c>
      <c r="I556" s="22">
        <v>5</v>
      </c>
      <c r="J556" s="22">
        <v>3</v>
      </c>
      <c r="K556" s="22">
        <v>1</v>
      </c>
      <c r="L556" s="22">
        <v>20</v>
      </c>
    </row>
    <row r="557" spans="1:12">
      <c r="A557" s="9" t="str">
        <f t="shared" si="71"/>
        <v>wms_order_line</v>
      </c>
      <c r="B557" s="16">
        <f t="shared" si="69"/>
        <v>1</v>
      </c>
      <c r="C557" s="16">
        <f t="shared" si="70"/>
        <v>6</v>
      </c>
      <c r="E557" s="10" t="s">
        <v>664</v>
      </c>
      <c r="F557" s="23" t="s">
        <v>906</v>
      </c>
      <c r="G557" s="7" t="str">
        <f t="shared" si="62"/>
        <v xml:space="preserve">    [Actual] = CONVERT(int,Column6),</v>
      </c>
      <c r="H557" s="22">
        <v>2</v>
      </c>
      <c r="I557" s="22">
        <v>1</v>
      </c>
      <c r="J557" s="22">
        <v>3</v>
      </c>
      <c r="K557" s="22">
        <v>1</v>
      </c>
      <c r="L557" s="22">
        <v>20</v>
      </c>
    </row>
    <row r="558" spans="1:12">
      <c r="A558" s="9" t="str">
        <f t="shared" si="71"/>
        <v>wms_order_line</v>
      </c>
      <c r="B558" s="16">
        <f t="shared" si="69"/>
        <v>1</v>
      </c>
      <c r="C558" s="16">
        <f t="shared" si="70"/>
        <v>7</v>
      </c>
      <c r="E558" s="10" t="s">
        <v>665</v>
      </c>
      <c r="F558" s="23" t="s">
        <v>906</v>
      </c>
      <c r="G558" s="7" t="str">
        <f t="shared" si="62"/>
        <v xml:space="preserve">    [Receipt] = CONVERT(int,Column7),</v>
      </c>
      <c r="H558" s="22">
        <v>0</v>
      </c>
      <c r="I558" s="22">
        <v>0</v>
      </c>
      <c r="J558" s="22">
        <v>0</v>
      </c>
      <c r="K558" s="22">
        <v>0</v>
      </c>
      <c r="L558" s="22">
        <v>0</v>
      </c>
    </row>
    <row r="559" spans="1:12">
      <c r="A559" s="9" t="str">
        <f t="shared" si="71"/>
        <v>wms_order_line</v>
      </c>
      <c r="B559" s="16">
        <f t="shared" si="69"/>
        <v>2</v>
      </c>
      <c r="C559" s="16">
        <f t="shared" si="70"/>
        <v>8</v>
      </c>
      <c r="E559" s="7" t="s">
        <v>144</v>
      </c>
      <c r="F559" s="23" t="s">
        <v>906</v>
      </c>
      <c r="G559" s="7" t="str">
        <f t="shared" si="62"/>
        <v xml:space="preserve">    [Special] = CONVERT(int,Column8),</v>
      </c>
      <c r="H559" s="22">
        <v>0</v>
      </c>
      <c r="I559" s="22">
        <v>0</v>
      </c>
      <c r="J559" s="22">
        <v>0</v>
      </c>
      <c r="K559" s="22">
        <v>0</v>
      </c>
      <c r="L559" s="22">
        <v>0</v>
      </c>
    </row>
    <row r="560" spans="1:12">
      <c r="A560" s="9" t="str">
        <f t="shared" si="71"/>
        <v>wms_order_line</v>
      </c>
      <c r="B560" s="16">
        <f t="shared" si="69"/>
        <v>1</v>
      </c>
      <c r="C560" s="16">
        <f t="shared" si="70"/>
        <v>9</v>
      </c>
      <c r="E560" s="10" t="s">
        <v>666</v>
      </c>
      <c r="F560" s="23" t="s">
        <v>906</v>
      </c>
      <c r="G560" s="7" t="str">
        <f t="shared" si="62"/>
        <v xml:space="preserve">    [OLRP Sent] = CONVERT(int,Column9),</v>
      </c>
      <c r="H560" s="22">
        <v>2</v>
      </c>
      <c r="I560" s="22">
        <v>1</v>
      </c>
      <c r="J560" s="22">
        <v>3</v>
      </c>
      <c r="K560" s="22">
        <v>1</v>
      </c>
      <c r="L560" s="22">
        <v>20</v>
      </c>
    </row>
    <row r="561" spans="1:12">
      <c r="A561" s="9" t="str">
        <f t="shared" si="71"/>
        <v>wms_order_line</v>
      </c>
      <c r="B561" s="16">
        <f t="shared" si="69"/>
        <v>2</v>
      </c>
      <c r="C561" s="16">
        <f t="shared" si="70"/>
        <v>10</v>
      </c>
      <c r="E561" s="7" t="s">
        <v>667</v>
      </c>
      <c r="F561" s="23" t="s">
        <v>906</v>
      </c>
      <c r="G561" s="7" t="str">
        <f t="shared" si="62"/>
        <v xml:space="preserve">    [Cont Group] = CONVERT(int,Column10),</v>
      </c>
      <c r="H561" s="22">
        <v>0</v>
      </c>
      <c r="I561" s="22">
        <v>0</v>
      </c>
      <c r="J561" s="22">
        <v>0</v>
      </c>
      <c r="K561" s="22">
        <v>0</v>
      </c>
      <c r="L561" s="22">
        <v>0</v>
      </c>
    </row>
    <row r="562" spans="1:12">
      <c r="A562" s="9" t="str">
        <f t="shared" si="71"/>
        <v>wms_order_line</v>
      </c>
      <c r="B562" s="16">
        <f t="shared" si="69"/>
        <v>10</v>
      </c>
      <c r="C562" s="16">
        <f t="shared" si="70"/>
        <v>11</v>
      </c>
      <c r="E562" s="7" t="s">
        <v>95</v>
      </c>
      <c r="F562" s="23" t="s">
        <v>906</v>
      </c>
      <c r="G562" s="7" t="str">
        <f t="shared" si="62"/>
        <v xml:space="preserve">    [Item Code] = CONVERT(int,Column11),</v>
      </c>
      <c r="H562" s="22" t="s">
        <v>668</v>
      </c>
      <c r="I562" s="22" t="s">
        <v>669</v>
      </c>
      <c r="J562" s="22" t="s">
        <v>670</v>
      </c>
      <c r="K562" s="22" t="s">
        <v>671</v>
      </c>
      <c r="L562" s="22" t="s">
        <v>672</v>
      </c>
    </row>
    <row r="563" spans="1:12">
      <c r="A563" s="9" t="str">
        <f t="shared" si="71"/>
        <v>wms_order_line</v>
      </c>
      <c r="B563" s="16">
        <f t="shared" si="69"/>
        <v>1</v>
      </c>
      <c r="C563" s="16">
        <f t="shared" si="70"/>
        <v>12</v>
      </c>
      <c r="E563" s="10" t="s">
        <v>673</v>
      </c>
      <c r="F563" s="23" t="s">
        <v>932</v>
      </c>
      <c r="G563" s="7" t="str">
        <f t="shared" si="62"/>
        <v xml:space="preserve">    [Code Number] = CONVERT(varchar(40),Column12),</v>
      </c>
      <c r="H563" s="22" t="s">
        <v>53</v>
      </c>
      <c r="I563" s="22" t="s">
        <v>53</v>
      </c>
      <c r="J563" s="22" t="s">
        <v>53</v>
      </c>
      <c r="K563" s="22" t="s">
        <v>53</v>
      </c>
      <c r="L563" s="22" t="s">
        <v>53</v>
      </c>
    </row>
    <row r="564" spans="1:12">
      <c r="A564" s="9" t="str">
        <f t="shared" si="71"/>
        <v>wms_order_line</v>
      </c>
      <c r="B564" s="16">
        <f t="shared" si="69"/>
        <v>2</v>
      </c>
      <c r="C564" s="16">
        <f t="shared" si="70"/>
        <v>13</v>
      </c>
      <c r="E564" s="10" t="s">
        <v>674</v>
      </c>
      <c r="F564" s="23" t="s">
        <v>932</v>
      </c>
      <c r="G564" s="7" t="str">
        <f t="shared" si="62"/>
        <v xml:space="preserve">    [Text] = CONVERT(varchar(40),Column13),</v>
      </c>
      <c r="H564" s="22" t="s">
        <v>53</v>
      </c>
      <c r="I564" s="22" t="s">
        <v>53</v>
      </c>
      <c r="J564" s="22" t="s">
        <v>53</v>
      </c>
      <c r="K564" s="22" t="s">
        <v>53</v>
      </c>
      <c r="L564" s="22" t="s">
        <v>53</v>
      </c>
    </row>
    <row r="565" spans="1:12">
      <c r="A565" s="9" t="str">
        <f t="shared" si="71"/>
        <v>wms_order_line</v>
      </c>
      <c r="B565" s="16">
        <f t="shared" si="69"/>
        <v>1</v>
      </c>
      <c r="C565" s="16">
        <f t="shared" si="70"/>
        <v>14</v>
      </c>
      <c r="E565" s="10" t="s">
        <v>675</v>
      </c>
      <c r="F565" s="23" t="s">
        <v>928</v>
      </c>
      <c r="G565" s="7" t="str">
        <f t="shared" si="62"/>
        <v xml:space="preserve">    [Purchase Order] = CONVERT(varchar(12),Column14),</v>
      </c>
      <c r="H565" s="22" t="s">
        <v>53</v>
      </c>
      <c r="I565" s="22" t="s">
        <v>53</v>
      </c>
      <c r="J565" s="22" t="s">
        <v>53</v>
      </c>
      <c r="K565" s="22" t="s">
        <v>53</v>
      </c>
      <c r="L565" s="22" t="s">
        <v>53</v>
      </c>
    </row>
    <row r="566" spans="1:12">
      <c r="A566" s="9" t="str">
        <f t="shared" si="71"/>
        <v>wms_order_line</v>
      </c>
      <c r="B566" s="16">
        <f t="shared" si="69"/>
        <v>1</v>
      </c>
      <c r="C566" s="16">
        <f t="shared" si="70"/>
        <v>15</v>
      </c>
      <c r="E566" s="10" t="s">
        <v>676</v>
      </c>
      <c r="F566" s="23" t="s">
        <v>905</v>
      </c>
      <c r="G566" s="7" t="str">
        <f t="shared" si="62"/>
        <v xml:space="preserve">    [Blocked] = CONVERT(varchar(1),Column15),</v>
      </c>
      <c r="H566" s="22" t="s">
        <v>53</v>
      </c>
      <c r="I566" s="22" t="s">
        <v>53</v>
      </c>
      <c r="J566" s="22" t="s">
        <v>53</v>
      </c>
      <c r="K566" s="22" t="s">
        <v>53</v>
      </c>
      <c r="L566" s="22" t="s">
        <v>53</v>
      </c>
    </row>
    <row r="567" spans="1:12">
      <c r="A567" s="9" t="str">
        <f t="shared" si="71"/>
        <v>wms_order_line</v>
      </c>
      <c r="B567" s="16">
        <f t="shared" si="69"/>
        <v>2</v>
      </c>
      <c r="C567" s="16">
        <f t="shared" si="70"/>
        <v>16</v>
      </c>
      <c r="E567" s="7" t="s">
        <v>677</v>
      </c>
      <c r="F567" s="23" t="s">
        <v>905</v>
      </c>
      <c r="G567" s="7" t="str">
        <f t="shared" si="62"/>
        <v xml:space="preserve">    [Status to Host] = CONVERT(varchar(1),Column16),</v>
      </c>
      <c r="H567" s="22" t="s">
        <v>232</v>
      </c>
      <c r="I567" s="22" t="s">
        <v>232</v>
      </c>
      <c r="J567" s="22" t="s">
        <v>232</v>
      </c>
      <c r="K567" s="22" t="s">
        <v>232</v>
      </c>
      <c r="L567" s="22" t="s">
        <v>232</v>
      </c>
    </row>
    <row r="568" spans="1:12">
      <c r="A568" s="9" t="str">
        <f t="shared" si="71"/>
        <v>wms_order_line</v>
      </c>
      <c r="B568" s="16">
        <f t="shared" si="69"/>
        <v>3</v>
      </c>
      <c r="C568" s="16">
        <f t="shared" si="70"/>
        <v>17</v>
      </c>
      <c r="E568" s="7" t="s">
        <v>678</v>
      </c>
      <c r="F568" s="23" t="s">
        <v>908</v>
      </c>
      <c r="G568" s="7" t="str">
        <f t="shared" si="62"/>
        <v xml:space="preserve">    [Hostname] = CONVERT(varchar(5),Column17),</v>
      </c>
      <c r="H568" s="22" t="s">
        <v>53</v>
      </c>
      <c r="I568" s="22" t="s">
        <v>53</v>
      </c>
      <c r="J568" s="22" t="s">
        <v>53</v>
      </c>
      <c r="K568" s="22" t="s">
        <v>53</v>
      </c>
      <c r="L568" s="22" t="s">
        <v>53</v>
      </c>
    </row>
    <row r="569" spans="1:12">
      <c r="A569" s="9" t="str">
        <f t="shared" si="71"/>
        <v>wms_order_line</v>
      </c>
      <c r="B569" s="16">
        <f t="shared" si="69"/>
        <v>1</v>
      </c>
      <c r="C569" s="16">
        <f t="shared" si="70"/>
        <v>18</v>
      </c>
      <c r="E569" s="10" t="s">
        <v>679</v>
      </c>
      <c r="F569" s="23" t="s">
        <v>904</v>
      </c>
      <c r="G569" s="7" t="str">
        <f t="shared" si="62"/>
        <v xml:space="preserve">    [Allow Force] = CONVERT(smallint,Column18),</v>
      </c>
      <c r="H569" s="22">
        <v>1</v>
      </c>
      <c r="I569" s="22">
        <v>1</v>
      </c>
      <c r="J569" s="22">
        <v>1</v>
      </c>
      <c r="K569" s="22">
        <v>1</v>
      </c>
      <c r="L569" s="22">
        <v>1</v>
      </c>
    </row>
    <row r="570" spans="1:12">
      <c r="A570" s="9" t="str">
        <f t="shared" si="71"/>
        <v>wms_order_line</v>
      </c>
      <c r="B570" s="16">
        <f t="shared" si="69"/>
        <v>2</v>
      </c>
      <c r="C570" s="16">
        <f t="shared" si="70"/>
        <v>19</v>
      </c>
      <c r="E570" s="7" t="s">
        <v>127</v>
      </c>
      <c r="F570" s="23" t="s">
        <v>904</v>
      </c>
      <c r="G570" s="7" t="str">
        <f t="shared" si="62"/>
        <v xml:space="preserve">    [Certificate] = CONVERT(smallint,Column19),</v>
      </c>
      <c r="H570" s="22">
        <v>0</v>
      </c>
      <c r="I570" s="22">
        <v>0</v>
      </c>
      <c r="J570" s="22">
        <v>0</v>
      </c>
      <c r="K570" s="22">
        <v>0</v>
      </c>
      <c r="L570" s="22">
        <v>0</v>
      </c>
    </row>
    <row r="571" spans="1:12">
      <c r="A571" s="9" t="str">
        <f t="shared" si="71"/>
        <v>wms_order_line</v>
      </c>
      <c r="B571" s="16">
        <f t="shared" si="69"/>
        <v>1</v>
      </c>
      <c r="C571" s="16">
        <f t="shared" si="70"/>
        <v>20</v>
      </c>
      <c r="E571" s="10" t="s">
        <v>680</v>
      </c>
      <c r="F571" s="23" t="s">
        <v>904</v>
      </c>
      <c r="G571" s="7" t="str">
        <f t="shared" si="62"/>
        <v xml:space="preserve">    [Each Alloc Ref] = CONVERT(smallint,Column20),</v>
      </c>
      <c r="H571" s="22">
        <v>0</v>
      </c>
      <c r="I571" s="22">
        <v>0</v>
      </c>
      <c r="J571" s="22">
        <v>0</v>
      </c>
      <c r="K571" s="22">
        <v>0</v>
      </c>
      <c r="L571" s="22">
        <v>0</v>
      </c>
    </row>
    <row r="572" spans="1:12">
      <c r="A572" s="9" t="str">
        <f t="shared" si="71"/>
        <v>wms_order_line</v>
      </c>
      <c r="B572" s="16">
        <f t="shared" si="69"/>
        <v>1</v>
      </c>
      <c r="C572" s="16">
        <f t="shared" si="70"/>
        <v>21</v>
      </c>
      <c r="E572" s="10" t="s">
        <v>681</v>
      </c>
      <c r="F572" s="23" t="s">
        <v>908</v>
      </c>
      <c r="G572" s="7" t="str">
        <f t="shared" si="62"/>
        <v xml:space="preserve">    [Alt Unit] = CONVERT(varchar(5),Column21),</v>
      </c>
      <c r="H572" s="22" t="s">
        <v>53</v>
      </c>
      <c r="I572" s="22" t="s">
        <v>53</v>
      </c>
      <c r="J572" s="22" t="s">
        <v>53</v>
      </c>
      <c r="K572" s="22" t="s">
        <v>53</v>
      </c>
      <c r="L572" s="22" t="s">
        <v>53</v>
      </c>
    </row>
    <row r="573" spans="1:12">
      <c r="A573" s="9" t="str">
        <f t="shared" si="71"/>
        <v>wms_order_line</v>
      </c>
      <c r="B573" s="16">
        <f t="shared" si="69"/>
        <v>1</v>
      </c>
      <c r="C573" s="16">
        <f t="shared" si="70"/>
        <v>22</v>
      </c>
      <c r="E573" s="10" t="s">
        <v>682</v>
      </c>
      <c r="F573" s="23" t="s">
        <v>906</v>
      </c>
      <c r="G573" s="7" t="str">
        <f t="shared" si="62"/>
        <v xml:space="preserve">    [Alt Count] = CONVERT(int,Column22),</v>
      </c>
      <c r="H573" s="22">
        <v>0</v>
      </c>
      <c r="I573" s="22">
        <v>0</v>
      </c>
      <c r="J573" s="22">
        <v>0</v>
      </c>
      <c r="K573" s="22">
        <v>0</v>
      </c>
      <c r="L573" s="22">
        <v>0</v>
      </c>
    </row>
    <row r="574" spans="1:12">
      <c r="A574" s="9" t="str">
        <f t="shared" si="71"/>
        <v>wms_order_line</v>
      </c>
      <c r="C574" s="16">
        <v>0</v>
      </c>
      <c r="G574" s="7" t="str">
        <f>"FROM Kolding.["&amp;A574&amp;"]"</f>
        <v>FROM Kolding.[wms_order_line]</v>
      </c>
    </row>
    <row r="575" spans="1:12" ht="30" customHeight="1">
      <c r="A575" s="9" t="s">
        <v>1089</v>
      </c>
      <c r="B575" s="16">
        <f t="shared" ref="B575:B593" si="72">COUNTIF(E:E,E575)</f>
        <v>0</v>
      </c>
      <c r="C575" s="16">
        <f>IF(A575=A573,C573+1,0)</f>
        <v>0</v>
      </c>
      <c r="E575" s="6"/>
      <c r="F575" s="23"/>
      <c r="G575" s="14" t="str">
        <f>"CREATE VIEW Kolding_LTS.["&amp;A575&amp;"] as select "</f>
        <v xml:space="preserve">CREATE VIEW Kolding_LTS.[wms_order] as select </v>
      </c>
    </row>
    <row r="576" spans="1:12">
      <c r="A576" s="9" t="str">
        <f t="shared" si="71"/>
        <v>wms_order</v>
      </c>
      <c r="B576" s="16">
        <f t="shared" si="72"/>
        <v>6</v>
      </c>
      <c r="C576" s="16">
        <f t="shared" ref="C576:C593" si="73">IF(A576=A575,C575+1,0)</f>
        <v>1</v>
      </c>
      <c r="D576" s="16">
        <v>0</v>
      </c>
      <c r="E576" s="7" t="s">
        <v>207</v>
      </c>
      <c r="F576" s="23" t="s">
        <v>906</v>
      </c>
      <c r="G576" s="7" t="str">
        <f t="shared" si="62"/>
        <v xml:space="preserve">    [Order ID] = CONVERT(int,Column1),</v>
      </c>
      <c r="H576" s="22" t="s">
        <v>684</v>
      </c>
      <c r="I576" s="22" t="s">
        <v>685</v>
      </c>
      <c r="J576" s="22" t="s">
        <v>686</v>
      </c>
      <c r="K576" s="22" t="s">
        <v>687</v>
      </c>
      <c r="L576" s="22" t="s">
        <v>688</v>
      </c>
    </row>
    <row r="577" spans="1:12">
      <c r="A577" s="9" t="str">
        <f t="shared" si="71"/>
        <v>wms_order</v>
      </c>
      <c r="B577" s="16">
        <f t="shared" si="72"/>
        <v>9</v>
      </c>
      <c r="C577" s="16">
        <f t="shared" si="73"/>
        <v>2</v>
      </c>
      <c r="D577" s="16">
        <v>1</v>
      </c>
      <c r="E577" s="7" t="s">
        <v>163</v>
      </c>
      <c r="F577" s="23" t="s">
        <v>905</v>
      </c>
      <c r="G577" s="7" t="str">
        <f t="shared" si="62"/>
        <v xml:space="preserve">    [Type] = CONVERT(varchar(1),Column2),</v>
      </c>
      <c r="H577" s="22" t="s">
        <v>690</v>
      </c>
      <c r="I577" s="22" t="s">
        <v>690</v>
      </c>
      <c r="J577" s="22" t="s">
        <v>690</v>
      </c>
      <c r="K577" s="22" t="s">
        <v>690</v>
      </c>
      <c r="L577" s="22" t="s">
        <v>690</v>
      </c>
    </row>
    <row r="578" spans="1:12">
      <c r="A578" s="9" t="str">
        <f t="shared" si="71"/>
        <v>wms_order</v>
      </c>
      <c r="B578" s="16">
        <f t="shared" si="72"/>
        <v>5</v>
      </c>
      <c r="C578" s="16">
        <f t="shared" si="73"/>
        <v>3</v>
      </c>
      <c r="D578" s="16">
        <v>2</v>
      </c>
      <c r="E578" s="7" t="s">
        <v>164</v>
      </c>
      <c r="F578" s="23" t="s">
        <v>905</v>
      </c>
      <c r="G578" s="7" t="str">
        <f t="shared" si="62"/>
        <v xml:space="preserve">    [Status] = CONVERT(varchar(1),Column3),</v>
      </c>
      <c r="H578" s="22" t="s">
        <v>232</v>
      </c>
      <c r="I578" s="22" t="s">
        <v>232</v>
      </c>
      <c r="J578" s="22" t="s">
        <v>232</v>
      </c>
      <c r="K578" s="22" t="s">
        <v>232</v>
      </c>
      <c r="L578" s="22" t="s">
        <v>232</v>
      </c>
    </row>
    <row r="579" spans="1:12">
      <c r="A579" s="9" t="str">
        <f t="shared" si="71"/>
        <v>wms_order</v>
      </c>
      <c r="B579" s="16">
        <f t="shared" si="72"/>
        <v>7</v>
      </c>
      <c r="C579" s="16">
        <f t="shared" si="73"/>
        <v>4</v>
      </c>
      <c r="D579" s="16">
        <v>3</v>
      </c>
      <c r="E579" s="7" t="s">
        <v>185</v>
      </c>
      <c r="F579" s="23" t="s">
        <v>904</v>
      </c>
      <c r="G579" s="7" t="str">
        <f t="shared" ref="G579:G622" si="74">"    ["&amp;E579 &amp;"] = CONVERT("&amp;F579&amp;",Column" &amp;C579&amp;"),"</f>
        <v xml:space="preserve">    [Priority] = CONVERT(smallint,Column4),</v>
      </c>
      <c r="H579" s="22">
        <v>10</v>
      </c>
      <c r="I579" s="22">
        <v>10</v>
      </c>
      <c r="J579" s="22">
        <v>10</v>
      </c>
      <c r="K579" s="22">
        <v>10</v>
      </c>
      <c r="L579" s="22">
        <v>10</v>
      </c>
    </row>
    <row r="580" spans="1:12">
      <c r="A580" s="9" t="str">
        <f t="shared" si="71"/>
        <v>wms_order</v>
      </c>
      <c r="B580" s="16">
        <f t="shared" si="72"/>
        <v>1</v>
      </c>
      <c r="C580" s="16">
        <f t="shared" si="73"/>
        <v>5</v>
      </c>
      <c r="D580" s="16">
        <v>4</v>
      </c>
      <c r="E580" s="10" t="s">
        <v>691</v>
      </c>
      <c r="F580" s="23" t="s">
        <v>904</v>
      </c>
      <c r="G580" s="7" t="str">
        <f t="shared" si="74"/>
        <v xml:space="preserve">    [Lines] = CONVERT(smallint,Column5),</v>
      </c>
      <c r="H580" s="22">
        <v>2</v>
      </c>
      <c r="I580" s="22">
        <v>1</v>
      </c>
      <c r="J580" s="22">
        <v>6</v>
      </c>
      <c r="K580" s="22">
        <v>1</v>
      </c>
      <c r="L580" s="22">
        <v>1</v>
      </c>
    </row>
    <row r="581" spans="1:12">
      <c r="A581" s="9" t="str">
        <f t="shared" si="71"/>
        <v>wms_order</v>
      </c>
      <c r="B581" s="16">
        <f t="shared" si="72"/>
        <v>1</v>
      </c>
      <c r="C581" s="16">
        <f t="shared" si="73"/>
        <v>6</v>
      </c>
      <c r="D581" s="16">
        <v>5</v>
      </c>
      <c r="E581" s="10" t="s">
        <v>692</v>
      </c>
      <c r="F581" s="23" t="s">
        <v>929</v>
      </c>
      <c r="G581" s="7" t="str">
        <f t="shared" si="74"/>
        <v xml:space="preserve">    [Created] = CONVERT(datetime,Column6),</v>
      </c>
      <c r="H581" s="22" t="s">
        <v>693</v>
      </c>
      <c r="I581" s="22" t="s">
        <v>694</v>
      </c>
      <c r="J581" s="22" t="s">
        <v>695</v>
      </c>
      <c r="K581" s="22" t="s">
        <v>696</v>
      </c>
      <c r="L581" s="22" t="s">
        <v>697</v>
      </c>
    </row>
    <row r="582" spans="1:12">
      <c r="A582" s="9" t="str">
        <f t="shared" si="71"/>
        <v>wms_order</v>
      </c>
      <c r="B582" s="16">
        <f t="shared" si="72"/>
        <v>5</v>
      </c>
      <c r="C582" s="16">
        <f t="shared" si="73"/>
        <v>7</v>
      </c>
      <c r="D582" s="16">
        <v>6</v>
      </c>
      <c r="E582" s="7" t="s">
        <v>40</v>
      </c>
      <c r="F582" s="23" t="s">
        <v>906</v>
      </c>
      <c r="G582" s="7" t="str">
        <f t="shared" si="74"/>
        <v xml:space="preserve">    [Order Number] = CONVERT(int,Column7),</v>
      </c>
      <c r="H582" s="22" t="s">
        <v>699</v>
      </c>
      <c r="I582" s="22" t="s">
        <v>700</v>
      </c>
      <c r="J582" s="22" t="s">
        <v>701</v>
      </c>
      <c r="K582" s="22" t="s">
        <v>702</v>
      </c>
      <c r="L582" s="22" t="s">
        <v>703</v>
      </c>
    </row>
    <row r="583" spans="1:12">
      <c r="A583" s="9" t="str">
        <f t="shared" si="71"/>
        <v>wms_order</v>
      </c>
      <c r="B583" s="16">
        <f t="shared" si="72"/>
        <v>1</v>
      </c>
      <c r="C583" s="16">
        <f t="shared" si="73"/>
        <v>8</v>
      </c>
      <c r="D583" s="16">
        <v>7</v>
      </c>
      <c r="E583" s="10" t="s">
        <v>705</v>
      </c>
      <c r="F583" s="23" t="s">
        <v>909</v>
      </c>
      <c r="G583" s="7" t="str">
        <f t="shared" si="74"/>
        <v xml:space="preserve">    [Del Note ID] = CONVERT(varchar(20),Column8),</v>
      </c>
      <c r="H583" s="22" t="s">
        <v>706</v>
      </c>
      <c r="I583" s="22" t="s">
        <v>707</v>
      </c>
      <c r="J583" s="22" t="s">
        <v>708</v>
      </c>
      <c r="K583" s="22" t="s">
        <v>709</v>
      </c>
      <c r="L583" s="22" t="s">
        <v>710</v>
      </c>
    </row>
    <row r="584" spans="1:12">
      <c r="A584" s="9" t="str">
        <f t="shared" si="71"/>
        <v>wms_order</v>
      </c>
      <c r="B584" s="16">
        <f t="shared" si="72"/>
        <v>1</v>
      </c>
      <c r="C584" s="16">
        <f t="shared" si="73"/>
        <v>9</v>
      </c>
      <c r="D584" s="16">
        <v>8</v>
      </c>
      <c r="E584" s="10" t="s">
        <v>712</v>
      </c>
      <c r="F584" s="23" t="s">
        <v>933</v>
      </c>
      <c r="G584" s="7" t="str">
        <f t="shared" si="74"/>
        <v xml:space="preserve">    [Ref Text] = CONVERT(varchar(25),Column9),</v>
      </c>
      <c r="H584" s="22" t="s">
        <v>713</v>
      </c>
      <c r="I584" s="22" t="s">
        <v>713</v>
      </c>
      <c r="J584" s="22" t="s">
        <v>713</v>
      </c>
      <c r="K584" s="22" t="s">
        <v>713</v>
      </c>
      <c r="L584" s="22" t="s">
        <v>713</v>
      </c>
    </row>
    <row r="585" spans="1:12">
      <c r="A585" s="9" t="str">
        <f t="shared" si="71"/>
        <v>wms_order</v>
      </c>
      <c r="B585" s="16">
        <f t="shared" si="72"/>
        <v>2</v>
      </c>
      <c r="C585" s="16">
        <f t="shared" si="73"/>
        <v>10</v>
      </c>
      <c r="D585" s="16">
        <v>9</v>
      </c>
      <c r="E585" s="7" t="s">
        <v>667</v>
      </c>
      <c r="F585" s="23" t="s">
        <v>904</v>
      </c>
      <c r="G585" s="7" t="str">
        <f t="shared" si="74"/>
        <v xml:space="preserve">    [Cont Group] = CONVERT(smallint,Column10),</v>
      </c>
      <c r="H585" s="22">
        <v>0</v>
      </c>
      <c r="I585" s="22">
        <v>0</v>
      </c>
      <c r="J585" s="22">
        <v>0</v>
      </c>
      <c r="K585" s="22">
        <v>0</v>
      </c>
      <c r="L585" s="22">
        <v>0</v>
      </c>
    </row>
    <row r="586" spans="1:12">
      <c r="A586" s="9" t="str">
        <f t="shared" si="71"/>
        <v>wms_order</v>
      </c>
      <c r="B586" s="16">
        <f t="shared" si="72"/>
        <v>2</v>
      </c>
      <c r="C586" s="16">
        <f t="shared" si="73"/>
        <v>11</v>
      </c>
      <c r="D586" s="16">
        <v>10</v>
      </c>
      <c r="E586" s="7" t="s">
        <v>677</v>
      </c>
      <c r="F586" s="23" t="s">
        <v>905</v>
      </c>
      <c r="G586" s="7" t="str">
        <f t="shared" si="74"/>
        <v xml:space="preserve">    [Status to Host] = CONVERT(varchar(1),Column11),</v>
      </c>
      <c r="H586" s="22" t="s">
        <v>232</v>
      </c>
      <c r="I586" s="22" t="s">
        <v>232</v>
      </c>
      <c r="J586" s="22" t="s">
        <v>232</v>
      </c>
      <c r="K586" s="22" t="s">
        <v>232</v>
      </c>
      <c r="L586" s="22" t="s">
        <v>232</v>
      </c>
    </row>
    <row r="587" spans="1:12">
      <c r="A587" s="9" t="str">
        <f t="shared" si="71"/>
        <v>wms_order</v>
      </c>
      <c r="B587" s="16">
        <f t="shared" si="72"/>
        <v>3</v>
      </c>
      <c r="C587" s="16">
        <f t="shared" si="73"/>
        <v>12</v>
      </c>
      <c r="D587" s="16">
        <v>11</v>
      </c>
      <c r="E587" s="7" t="s">
        <v>678</v>
      </c>
      <c r="F587" s="23" t="s">
        <v>968</v>
      </c>
      <c r="G587" s="7" t="str">
        <f t="shared" si="74"/>
        <v xml:space="preserve">    [Hostname] = CONVERT(varchar(32),Column12),</v>
      </c>
      <c r="H587" s="22" t="s">
        <v>714</v>
      </c>
      <c r="I587" s="22" t="s">
        <v>715</v>
      </c>
      <c r="J587" s="22" t="s">
        <v>714</v>
      </c>
      <c r="K587" s="22" t="s">
        <v>716</v>
      </c>
      <c r="L587" s="22" t="s">
        <v>716</v>
      </c>
    </row>
    <row r="588" spans="1:12">
      <c r="A588" s="9" t="str">
        <f t="shared" si="71"/>
        <v>wms_order</v>
      </c>
      <c r="B588" s="16">
        <f t="shared" si="72"/>
        <v>1</v>
      </c>
      <c r="C588" s="16">
        <f t="shared" si="73"/>
        <v>13</v>
      </c>
      <c r="D588" s="16">
        <v>12</v>
      </c>
      <c r="E588" s="10" t="s">
        <v>718</v>
      </c>
      <c r="F588" s="23" t="s">
        <v>904</v>
      </c>
      <c r="G588" s="7" t="str">
        <f t="shared" si="74"/>
        <v xml:space="preserve">    [Boxes] = CONVERT(smallint,Column13),</v>
      </c>
      <c r="H588" s="22">
        <v>0</v>
      </c>
      <c r="I588" s="22">
        <v>0</v>
      </c>
      <c r="J588" s="22">
        <v>0</v>
      </c>
      <c r="K588" s="22">
        <v>0</v>
      </c>
      <c r="L588" s="22">
        <v>0</v>
      </c>
    </row>
    <row r="589" spans="1:12">
      <c r="A589" s="9" t="str">
        <f t="shared" si="71"/>
        <v>wms_order</v>
      </c>
      <c r="B589" s="16">
        <f t="shared" si="72"/>
        <v>1</v>
      </c>
      <c r="C589" s="16">
        <f t="shared" si="73"/>
        <v>14</v>
      </c>
      <c r="D589" s="16">
        <v>13</v>
      </c>
      <c r="E589" s="10" t="s">
        <v>719</v>
      </c>
      <c r="F589" s="23" t="s">
        <v>904</v>
      </c>
      <c r="G589" s="7" t="str">
        <f t="shared" si="74"/>
        <v xml:space="preserve">    [Pallets] = CONVERT(smallint,Column14),</v>
      </c>
      <c r="H589" s="22">
        <v>0</v>
      </c>
      <c r="I589" s="22">
        <v>0</v>
      </c>
      <c r="J589" s="22">
        <v>0</v>
      </c>
      <c r="K589" s="22">
        <v>0</v>
      </c>
      <c r="L589" s="22">
        <v>0</v>
      </c>
    </row>
    <row r="590" spans="1:12">
      <c r="A590" s="9" t="str">
        <f t="shared" si="71"/>
        <v>wms_order</v>
      </c>
      <c r="B590" s="16">
        <f t="shared" si="72"/>
        <v>3</v>
      </c>
      <c r="C590" s="16">
        <f t="shared" si="73"/>
        <v>15</v>
      </c>
      <c r="D590" s="16">
        <v>14</v>
      </c>
      <c r="E590" s="7" t="s">
        <v>34</v>
      </c>
      <c r="F590" s="23" t="s">
        <v>904</v>
      </c>
      <c r="G590" s="7" t="str">
        <f t="shared" si="74"/>
        <v xml:space="preserve">    [Package No] = CONVERT(smallint,Column15),</v>
      </c>
      <c r="H590" s="22">
        <v>0</v>
      </c>
      <c r="I590" s="22">
        <v>0</v>
      </c>
      <c r="J590" s="22">
        <v>0</v>
      </c>
      <c r="K590" s="22">
        <v>0</v>
      </c>
      <c r="L590" s="22">
        <v>0</v>
      </c>
    </row>
    <row r="591" spans="1:12">
      <c r="A591" s="9" t="str">
        <f t="shared" si="71"/>
        <v>wms_order</v>
      </c>
      <c r="B591" s="16">
        <f t="shared" si="72"/>
        <v>6</v>
      </c>
      <c r="C591" s="16">
        <f t="shared" si="73"/>
        <v>16</v>
      </c>
      <c r="D591" s="16">
        <v>15</v>
      </c>
      <c r="E591" s="7" t="s">
        <v>188</v>
      </c>
      <c r="F591" s="23" t="s">
        <v>904</v>
      </c>
      <c r="G591" s="7" t="str">
        <f t="shared" si="74"/>
        <v xml:space="preserve">    [Stage] = CONVERT(smallint,Column16),</v>
      </c>
      <c r="H591" s="22">
        <v>210</v>
      </c>
      <c r="I591" s="22">
        <v>210</v>
      </c>
      <c r="J591" s="22">
        <v>210</v>
      </c>
      <c r="K591" s="22">
        <v>210</v>
      </c>
      <c r="L591" s="22">
        <v>210</v>
      </c>
    </row>
    <row r="592" spans="1:12">
      <c r="A592" s="9" t="str">
        <f t="shared" si="71"/>
        <v>wms_order</v>
      </c>
      <c r="B592" s="16">
        <f t="shared" si="72"/>
        <v>1</v>
      </c>
      <c r="C592" s="16">
        <f t="shared" si="73"/>
        <v>17</v>
      </c>
      <c r="D592" s="16">
        <v>16</v>
      </c>
      <c r="E592" s="10" t="s">
        <v>720</v>
      </c>
      <c r="F592" s="23" t="s">
        <v>968</v>
      </c>
      <c r="G592" s="7" t="str">
        <f t="shared" si="74"/>
        <v xml:space="preserve">    [Workstation] = CONVERT(varchar(32),Column17),</v>
      </c>
      <c r="H592" s="22" t="s">
        <v>721</v>
      </c>
      <c r="I592" s="22" t="s">
        <v>721</v>
      </c>
      <c r="J592" s="22" t="s">
        <v>721</v>
      </c>
      <c r="K592" s="22" t="s">
        <v>721</v>
      </c>
      <c r="L592" s="22" t="s">
        <v>721</v>
      </c>
    </row>
    <row r="593" spans="1:12">
      <c r="A593" s="9" t="str">
        <f t="shared" si="71"/>
        <v>wms_order</v>
      </c>
      <c r="B593" s="16">
        <f t="shared" si="72"/>
        <v>1</v>
      </c>
      <c r="C593" s="16">
        <f t="shared" si="73"/>
        <v>18</v>
      </c>
      <c r="D593" s="16">
        <v>17</v>
      </c>
      <c r="E593" s="10" t="s">
        <v>722</v>
      </c>
      <c r="F593" s="23" t="s">
        <v>904</v>
      </c>
      <c r="G593" s="7" t="str">
        <f t="shared" si="74"/>
        <v xml:space="preserve">    [Print Required] = CONVERT(smallint,Column18),</v>
      </c>
      <c r="H593" s="22" t="s">
        <v>231</v>
      </c>
      <c r="I593" s="22" t="s">
        <v>231</v>
      </c>
      <c r="J593" s="22" t="s">
        <v>231</v>
      </c>
      <c r="K593" s="22" t="s">
        <v>231</v>
      </c>
      <c r="L593" s="22" t="s">
        <v>231</v>
      </c>
    </row>
    <row r="594" spans="1:12">
      <c r="A594" s="9" t="str">
        <f t="shared" si="71"/>
        <v>wms_order</v>
      </c>
      <c r="C594" s="16">
        <v>0</v>
      </c>
      <c r="G594" s="7" t="str">
        <f>"FROM Kolding.["&amp;A594&amp;"]"</f>
        <v>FROM Kolding.[wms_order]</v>
      </c>
    </row>
    <row r="595" spans="1:12" ht="33" customHeight="1">
      <c r="A595" s="9" t="s">
        <v>1090</v>
      </c>
      <c r="B595" s="16">
        <f t="shared" ref="B595:B603" si="75">COUNTIF(E:E,E595)</f>
        <v>0</v>
      </c>
      <c r="E595" s="18"/>
      <c r="F595" s="23"/>
      <c r="G595" s="14" t="str">
        <f>"CREATE VIEW Kolding_LTS.["&amp;A595&amp;"] as select "</f>
        <v xml:space="preserve">CREATE VIEW Kolding_LTS.[workstation] as select </v>
      </c>
      <c r="H595" s="22"/>
      <c r="I595" s="22"/>
      <c r="J595" s="22"/>
      <c r="K595" s="22"/>
      <c r="L595" s="22"/>
    </row>
    <row r="596" spans="1:12">
      <c r="A596" s="9" t="str">
        <f>A595</f>
        <v>workstation</v>
      </c>
      <c r="B596" s="16">
        <f t="shared" si="75"/>
        <v>3</v>
      </c>
      <c r="C596" s="16">
        <v>1</v>
      </c>
      <c r="D596" s="16">
        <v>0</v>
      </c>
      <c r="E596" s="18" t="s">
        <v>678</v>
      </c>
      <c r="F596" s="23" t="s">
        <v>968</v>
      </c>
      <c r="G596" s="7" t="str">
        <f t="shared" si="74"/>
        <v xml:space="preserve">    [Hostname] = CONVERT(varchar(32),Column1),</v>
      </c>
      <c r="H596" s="22" t="s">
        <v>1033</v>
      </c>
      <c r="I596" s="22" t="s">
        <v>1034</v>
      </c>
      <c r="J596" s="22" t="s">
        <v>1035</v>
      </c>
      <c r="K596" s="22" t="s">
        <v>1036</v>
      </c>
      <c r="L596" s="22" t="s">
        <v>1037</v>
      </c>
    </row>
    <row r="597" spans="1:12">
      <c r="A597" s="9" t="str">
        <f t="shared" ref="A597:A604" si="76">A596</f>
        <v>workstation</v>
      </c>
      <c r="B597" s="16">
        <f t="shared" si="75"/>
        <v>4</v>
      </c>
      <c r="C597" s="16">
        <v>2</v>
      </c>
      <c r="D597" s="16">
        <v>1</v>
      </c>
      <c r="E597" s="18" t="s">
        <v>1</v>
      </c>
      <c r="F597" s="23" t="s">
        <v>928</v>
      </c>
      <c r="G597" s="7" t="str">
        <f t="shared" si="74"/>
        <v xml:space="preserve">    [Location] = CONVERT(varchar(12),Column2),</v>
      </c>
      <c r="H597" s="22" t="s">
        <v>1038</v>
      </c>
      <c r="I597" s="22" t="s">
        <v>1038</v>
      </c>
      <c r="J597" s="22" t="s">
        <v>1038</v>
      </c>
      <c r="K597" s="22" t="s">
        <v>1038</v>
      </c>
      <c r="L597" s="22" t="s">
        <v>1038</v>
      </c>
    </row>
    <row r="598" spans="1:12">
      <c r="A598" s="9" t="str">
        <f t="shared" si="76"/>
        <v>workstation</v>
      </c>
      <c r="B598" s="16">
        <f t="shared" si="75"/>
        <v>7</v>
      </c>
      <c r="C598" s="16">
        <v>3</v>
      </c>
      <c r="D598" s="16">
        <v>2</v>
      </c>
      <c r="E598" s="18" t="s">
        <v>98</v>
      </c>
      <c r="F598" s="23" t="s">
        <v>932</v>
      </c>
      <c r="G598" s="7" t="str">
        <f t="shared" si="74"/>
        <v xml:space="preserve">    [Description] = CONVERT(varchar(40),Column3),</v>
      </c>
      <c r="H598" s="22" t="s">
        <v>1039</v>
      </c>
      <c r="I598" s="22" t="s">
        <v>1040</v>
      </c>
      <c r="J598" s="22" t="s">
        <v>1041</v>
      </c>
      <c r="K598" s="22" t="s">
        <v>1042</v>
      </c>
      <c r="L598" s="22" t="s">
        <v>1043</v>
      </c>
    </row>
    <row r="599" spans="1:12">
      <c r="A599" s="9" t="str">
        <f t="shared" si="76"/>
        <v>workstation</v>
      </c>
      <c r="B599" s="16">
        <f t="shared" si="75"/>
        <v>1</v>
      </c>
      <c r="C599" s="16">
        <v>4</v>
      </c>
      <c r="D599" s="16">
        <v>3</v>
      </c>
      <c r="E599" s="18" t="s">
        <v>1179</v>
      </c>
      <c r="F599" s="23" t="s">
        <v>968</v>
      </c>
      <c r="G599" s="7" t="str">
        <f t="shared" si="74"/>
        <v xml:space="preserve">    [Document Printer] = CONVERT(varchar(32),Column4),</v>
      </c>
      <c r="H599" s="22" t="s">
        <v>1044</v>
      </c>
      <c r="I599" s="22">
        <v>51</v>
      </c>
      <c r="J599" s="22">
        <v>51</v>
      </c>
      <c r="K599" s="22" t="s">
        <v>1045</v>
      </c>
      <c r="L599" s="22" t="s">
        <v>1045</v>
      </c>
    </row>
    <row r="600" spans="1:12">
      <c r="A600" s="9" t="str">
        <f t="shared" si="76"/>
        <v>workstation</v>
      </c>
      <c r="B600" s="16">
        <f t="shared" si="75"/>
        <v>1</v>
      </c>
      <c r="C600" s="16">
        <v>5</v>
      </c>
      <c r="D600" s="16">
        <v>4</v>
      </c>
      <c r="E600" s="18" t="s">
        <v>1176</v>
      </c>
      <c r="F600" s="23" t="s">
        <v>968</v>
      </c>
      <c r="G600" s="7" t="str">
        <f t="shared" si="74"/>
        <v xml:space="preserve">    [Label Printer] = CONVERT(varchar(32),Column5),</v>
      </c>
      <c r="H600" s="22" t="s">
        <v>1046</v>
      </c>
      <c r="I600" s="22" t="s">
        <v>1046</v>
      </c>
      <c r="J600" s="22" t="s">
        <v>1046</v>
      </c>
      <c r="K600" s="22" t="s">
        <v>1047</v>
      </c>
      <c r="L600" s="22" t="s">
        <v>1048</v>
      </c>
    </row>
    <row r="601" spans="1:12">
      <c r="A601" s="9" t="str">
        <f t="shared" si="76"/>
        <v>workstation</v>
      </c>
      <c r="B601" s="16">
        <f t="shared" si="75"/>
        <v>4</v>
      </c>
      <c r="C601" s="16">
        <v>6</v>
      </c>
      <c r="D601" s="16">
        <v>5</v>
      </c>
      <c r="E601" s="18" t="s">
        <v>180</v>
      </c>
      <c r="F601" s="23" t="s">
        <v>928</v>
      </c>
      <c r="G601" s="7" t="str">
        <f t="shared" si="74"/>
        <v xml:space="preserve">    [MHE] = CONVERT(varchar(12),Column6),</v>
      </c>
      <c r="H601" s="22" t="s">
        <v>954</v>
      </c>
      <c r="I601" s="22" t="s">
        <v>954</v>
      </c>
      <c r="J601" s="22" t="s">
        <v>954</v>
      </c>
      <c r="K601" s="22" t="s">
        <v>1049</v>
      </c>
      <c r="L601" s="22" t="s">
        <v>954</v>
      </c>
    </row>
    <row r="602" spans="1:12">
      <c r="A602" s="9" t="str">
        <f t="shared" si="76"/>
        <v>workstation</v>
      </c>
      <c r="B602" s="16">
        <f t="shared" si="75"/>
        <v>1</v>
      </c>
      <c r="C602" s="16">
        <v>7</v>
      </c>
      <c r="D602" s="16">
        <v>6</v>
      </c>
      <c r="E602" s="18" t="s">
        <v>1177</v>
      </c>
      <c r="F602" s="23" t="s">
        <v>968</v>
      </c>
      <c r="G602" s="7" t="str">
        <f t="shared" si="74"/>
        <v xml:space="preserve">    [Guide Printer] = CONVERT(varchar(32),Column7),</v>
      </c>
      <c r="H602" s="22" t="s">
        <v>969</v>
      </c>
      <c r="I602" s="22" t="s">
        <v>1050</v>
      </c>
      <c r="J602" s="22" t="s">
        <v>1051</v>
      </c>
      <c r="K602" s="22" t="s">
        <v>1052</v>
      </c>
      <c r="L602" s="22" t="s">
        <v>1050</v>
      </c>
    </row>
    <row r="603" spans="1:12">
      <c r="A603" s="9" t="str">
        <f t="shared" si="76"/>
        <v>workstation</v>
      </c>
      <c r="B603" s="16">
        <f t="shared" si="75"/>
        <v>1</v>
      </c>
      <c r="C603" s="16">
        <v>8</v>
      </c>
      <c r="D603" s="16">
        <v>7</v>
      </c>
      <c r="E603" s="18" t="s">
        <v>1178</v>
      </c>
      <c r="F603" s="23" t="s">
        <v>968</v>
      </c>
      <c r="G603" s="7" t="str">
        <f t="shared" si="74"/>
        <v xml:space="preserve">    [Trotters Printer] = CONVERT(varchar(32),Column8),</v>
      </c>
      <c r="H603" s="22" t="s">
        <v>969</v>
      </c>
      <c r="I603" s="22" t="s">
        <v>1050</v>
      </c>
      <c r="J603" s="22" t="s">
        <v>1053</v>
      </c>
      <c r="K603" s="22" t="s">
        <v>1050</v>
      </c>
      <c r="L603" s="22" t="s">
        <v>1050</v>
      </c>
    </row>
    <row r="604" spans="1:12">
      <c r="A604" s="9" t="str">
        <f t="shared" si="76"/>
        <v>workstation</v>
      </c>
      <c r="C604" s="16">
        <v>0</v>
      </c>
      <c r="G604" s="7" t="str">
        <f>"FROM Kolding.["&amp;A604&amp;"]"</f>
        <v>FROM Kolding.[workstation]</v>
      </c>
    </row>
    <row r="605" spans="1:12" ht="30" customHeight="1">
      <c r="A605" s="9" t="s">
        <v>1091</v>
      </c>
      <c r="B605" s="16">
        <f t="shared" ref="B605:B622" si="77">COUNTIF(E:E,E605)</f>
        <v>0</v>
      </c>
      <c r="C605" s="16">
        <f>IF(A605=A593,C593+1,0)</f>
        <v>0</v>
      </c>
      <c r="E605" s="6"/>
      <c r="F605" s="23"/>
      <c r="G605" s="14" t="str">
        <f>"CREATE VIEW Kolding_LTS.["&amp;A605&amp;"] as select "</f>
        <v xml:space="preserve">CREATE VIEW Kolding_LTS.[zones] as select </v>
      </c>
    </row>
    <row r="606" spans="1:12">
      <c r="A606" s="9" t="str">
        <f t="shared" si="71"/>
        <v>zones</v>
      </c>
      <c r="B606" s="16">
        <f t="shared" si="77"/>
        <v>3</v>
      </c>
      <c r="C606" s="16">
        <f t="shared" ref="C606:C622" si="78">IF(A606=A605,C605+1,0)</f>
        <v>1</v>
      </c>
      <c r="E606" s="7" t="s">
        <v>449</v>
      </c>
      <c r="F606" s="23" t="s">
        <v>904</v>
      </c>
      <c r="G606" s="7" t="str">
        <f t="shared" si="74"/>
        <v xml:space="preserve">    [Zone Id] = CONVERT(smallint,Column1),</v>
      </c>
      <c r="H606" s="22">
        <v>1</v>
      </c>
      <c r="I606" s="22">
        <v>2</v>
      </c>
      <c r="J606" s="22">
        <v>3</v>
      </c>
      <c r="K606" s="22">
        <v>4</v>
      </c>
      <c r="L606" s="22">
        <v>5</v>
      </c>
    </row>
    <row r="607" spans="1:12">
      <c r="A607" s="9" t="str">
        <f t="shared" si="71"/>
        <v>zones</v>
      </c>
      <c r="B607" s="16">
        <f t="shared" si="77"/>
        <v>1</v>
      </c>
      <c r="C607" s="16">
        <f t="shared" si="78"/>
        <v>2</v>
      </c>
      <c r="E607" s="10" t="s">
        <v>724</v>
      </c>
      <c r="F607" s="23" t="s">
        <v>929</v>
      </c>
      <c r="G607" s="7" t="str">
        <f t="shared" si="74"/>
        <v xml:space="preserve">    [Creation Date] = CONVERT(datetime,Column2),</v>
      </c>
      <c r="H607" s="22" t="s">
        <v>725</v>
      </c>
      <c r="I607" s="22" t="s">
        <v>725</v>
      </c>
      <c r="J607" s="22" t="s">
        <v>725</v>
      </c>
      <c r="K607" s="22" t="s">
        <v>725</v>
      </c>
      <c r="L607" s="22" t="s">
        <v>725</v>
      </c>
    </row>
    <row r="608" spans="1:12">
      <c r="A608" s="9" t="str">
        <f t="shared" si="71"/>
        <v>zones</v>
      </c>
      <c r="B608" s="16">
        <f t="shared" si="77"/>
        <v>7</v>
      </c>
      <c r="C608" s="16">
        <f t="shared" si="78"/>
        <v>3</v>
      </c>
      <c r="E608" s="7" t="s">
        <v>98</v>
      </c>
      <c r="F608" s="23" t="s">
        <v>909</v>
      </c>
      <c r="G608" s="7" t="str">
        <f t="shared" si="74"/>
        <v xml:space="preserve">    [Description] = CONVERT(varchar(20),Column3),</v>
      </c>
      <c r="H608" s="22" t="s">
        <v>728</v>
      </c>
      <c r="I608" s="22" t="s">
        <v>729</v>
      </c>
      <c r="J608" s="22" t="s">
        <v>730</v>
      </c>
      <c r="K608" s="22" t="s">
        <v>731</v>
      </c>
      <c r="L608" s="22" t="s">
        <v>732</v>
      </c>
    </row>
    <row r="609" spans="1:12">
      <c r="A609" s="9" t="str">
        <f t="shared" si="71"/>
        <v>zones</v>
      </c>
      <c r="B609" s="16">
        <f t="shared" si="77"/>
        <v>1</v>
      </c>
      <c r="C609" s="16">
        <f t="shared" si="78"/>
        <v>4</v>
      </c>
      <c r="E609" s="10" t="s">
        <v>735</v>
      </c>
      <c r="F609" s="23" t="s">
        <v>968</v>
      </c>
      <c r="G609" s="7" t="str">
        <f t="shared" si="74"/>
        <v xml:space="preserve">    [Type Module] = CONVERT(varchar(32),Column4),</v>
      </c>
      <c r="H609" s="22" t="s">
        <v>736</v>
      </c>
      <c r="I609" s="22" t="s">
        <v>737</v>
      </c>
      <c r="J609" s="22" t="s">
        <v>737</v>
      </c>
      <c r="K609" s="22" t="s">
        <v>738</v>
      </c>
      <c r="L609" s="22" t="s">
        <v>738</v>
      </c>
    </row>
    <row r="610" spans="1:12">
      <c r="A610" s="9" t="str">
        <f t="shared" si="71"/>
        <v>zones</v>
      </c>
      <c r="B610" s="16">
        <f t="shared" si="77"/>
        <v>1</v>
      </c>
      <c r="C610" s="16">
        <f t="shared" si="78"/>
        <v>5</v>
      </c>
      <c r="E610" s="10" t="s">
        <v>741</v>
      </c>
      <c r="F610" s="23" t="s">
        <v>968</v>
      </c>
      <c r="G610" s="7" t="str">
        <f t="shared" si="74"/>
        <v xml:space="preserve">    [Select Module] = CONVERT(varchar(32),Column5),</v>
      </c>
      <c r="H610" s="22" t="s">
        <v>742</v>
      </c>
      <c r="I610" s="22" t="s">
        <v>743</v>
      </c>
      <c r="J610" s="22" t="s">
        <v>742</v>
      </c>
      <c r="K610" s="22" t="s">
        <v>743</v>
      </c>
      <c r="L610" s="22" t="s">
        <v>743</v>
      </c>
    </row>
    <row r="611" spans="1:12">
      <c r="A611" s="9" t="str">
        <f t="shared" si="71"/>
        <v>zones</v>
      </c>
      <c r="B611" s="16">
        <f t="shared" si="77"/>
        <v>1</v>
      </c>
      <c r="C611" s="16">
        <f t="shared" si="78"/>
        <v>6</v>
      </c>
      <c r="E611" s="10" t="s">
        <v>744</v>
      </c>
      <c r="F611" s="23" t="s">
        <v>928</v>
      </c>
      <c r="G611" s="7" t="str">
        <f t="shared" si="74"/>
        <v xml:space="preserve">    [Generic Text] = CONVERT(varchar(12),Column6),</v>
      </c>
      <c r="H611" s="22" t="s">
        <v>285</v>
      </c>
      <c r="I611" s="22" t="s">
        <v>745</v>
      </c>
      <c r="J611" s="22" t="s">
        <v>746</v>
      </c>
      <c r="K611" s="22" t="s">
        <v>747</v>
      </c>
      <c r="L611" s="22" t="s">
        <v>748</v>
      </c>
    </row>
    <row r="612" spans="1:12">
      <c r="A612" s="9" t="str">
        <f t="shared" si="71"/>
        <v>zones</v>
      </c>
      <c r="B612" s="16">
        <f t="shared" si="77"/>
        <v>1</v>
      </c>
      <c r="C612" s="16">
        <f t="shared" si="78"/>
        <v>7</v>
      </c>
      <c r="E612" s="10" t="s">
        <v>751</v>
      </c>
      <c r="F612" s="23" t="s">
        <v>928</v>
      </c>
      <c r="G612" s="7" t="str">
        <f t="shared" si="74"/>
        <v xml:space="preserve">    [Template Text] = CONVERT(varchar(12),Column7),</v>
      </c>
      <c r="H612" s="22" t="s">
        <v>752</v>
      </c>
      <c r="I612" s="22" t="s">
        <v>753</v>
      </c>
      <c r="J612" s="22" t="s">
        <v>754</v>
      </c>
      <c r="K612" s="22" t="s">
        <v>755</v>
      </c>
      <c r="L612" s="22" t="s">
        <v>756</v>
      </c>
    </row>
    <row r="613" spans="1:12">
      <c r="A613" s="9" t="str">
        <f t="shared" si="71"/>
        <v>zones</v>
      </c>
      <c r="B613" s="16">
        <f t="shared" si="77"/>
        <v>1</v>
      </c>
      <c r="C613" s="16">
        <f t="shared" si="78"/>
        <v>8</v>
      </c>
      <c r="E613" s="10" t="s">
        <v>758</v>
      </c>
      <c r="F613" s="23" t="s">
        <v>928</v>
      </c>
      <c r="G613" s="7" t="str">
        <f t="shared" si="74"/>
        <v xml:space="preserve">    [Fixed Text] = CONVERT(varchar(12),Column8),</v>
      </c>
      <c r="H613" s="22" t="s">
        <v>759</v>
      </c>
      <c r="I613" s="22" t="s">
        <v>760</v>
      </c>
      <c r="J613" s="22" t="s">
        <v>53</v>
      </c>
      <c r="K613" s="22" t="s">
        <v>53</v>
      </c>
      <c r="L613" s="22" t="s">
        <v>53</v>
      </c>
    </row>
    <row r="614" spans="1:12">
      <c r="A614" s="9" t="str">
        <f t="shared" si="71"/>
        <v>zones</v>
      </c>
      <c r="B614" s="16">
        <f t="shared" si="77"/>
        <v>1</v>
      </c>
      <c r="C614" s="16">
        <f t="shared" si="78"/>
        <v>9</v>
      </c>
      <c r="E614" s="10" t="s">
        <v>761</v>
      </c>
      <c r="F614" s="23" t="s">
        <v>904</v>
      </c>
      <c r="G614" s="7" t="str">
        <f t="shared" si="74"/>
        <v xml:space="preserve">    [Num Coords] = CONVERT(smallint,Column9),</v>
      </c>
      <c r="H614" s="22">
        <v>5</v>
      </c>
      <c r="I614" s="22">
        <v>3</v>
      </c>
      <c r="J614" s="22">
        <v>3</v>
      </c>
      <c r="K614" s="22">
        <v>1</v>
      </c>
      <c r="L614" s="22">
        <v>1</v>
      </c>
    </row>
    <row r="615" spans="1:12">
      <c r="A615" s="9" t="str">
        <f t="shared" si="71"/>
        <v>zones</v>
      </c>
      <c r="B615" s="16">
        <f t="shared" si="77"/>
        <v>1</v>
      </c>
      <c r="C615" s="16">
        <f t="shared" si="78"/>
        <v>10</v>
      </c>
      <c r="E615" s="10" t="s">
        <v>762</v>
      </c>
      <c r="F615" s="23" t="s">
        <v>904</v>
      </c>
      <c r="G615" s="7" t="str">
        <f t="shared" si="74"/>
        <v xml:space="preserve">    [Stock Spread] = CONVERT(smallint,Column10),</v>
      </c>
      <c r="H615" s="22" t="s">
        <v>248</v>
      </c>
      <c r="I615" s="22" t="s">
        <v>248</v>
      </c>
      <c r="J615" s="22" t="s">
        <v>248</v>
      </c>
      <c r="K615" s="22" t="s">
        <v>248</v>
      </c>
      <c r="L615" s="22" t="s">
        <v>248</v>
      </c>
    </row>
    <row r="616" spans="1:12">
      <c r="A616" s="9" t="str">
        <f t="shared" si="71"/>
        <v>zones</v>
      </c>
      <c r="B616" s="16">
        <f t="shared" si="77"/>
        <v>2</v>
      </c>
      <c r="C616" s="16">
        <f t="shared" si="78"/>
        <v>11</v>
      </c>
      <c r="E616" s="7" t="s">
        <v>159</v>
      </c>
      <c r="F616" s="23" t="s">
        <v>936</v>
      </c>
      <c r="G616" s="7" t="str">
        <f t="shared" si="74"/>
        <v xml:space="preserve">    [x] = CONVERT(decimal(18,3),Column11),</v>
      </c>
      <c r="H616" s="22">
        <v>0</v>
      </c>
      <c r="I616" s="22">
        <v>0</v>
      </c>
      <c r="J616" s="22">
        <v>0</v>
      </c>
      <c r="K616" s="22">
        <v>0</v>
      </c>
      <c r="L616" s="22">
        <v>0</v>
      </c>
    </row>
    <row r="617" spans="1:12">
      <c r="A617" s="9" t="str">
        <f t="shared" si="71"/>
        <v>zones</v>
      </c>
      <c r="B617" s="16">
        <f t="shared" si="77"/>
        <v>2</v>
      </c>
      <c r="C617" s="16">
        <f t="shared" si="78"/>
        <v>12</v>
      </c>
      <c r="E617" s="7" t="s">
        <v>160</v>
      </c>
      <c r="F617" s="23" t="s">
        <v>936</v>
      </c>
      <c r="G617" s="7" t="str">
        <f t="shared" si="74"/>
        <v xml:space="preserve">    [y] = CONVERT(decimal(18,3),Column12),</v>
      </c>
      <c r="H617" s="22">
        <v>5000</v>
      </c>
      <c r="I617" s="22">
        <v>0</v>
      </c>
      <c r="J617" s="22">
        <v>0</v>
      </c>
      <c r="K617" s="22">
        <v>0</v>
      </c>
      <c r="L617" s="22">
        <v>0</v>
      </c>
    </row>
    <row r="618" spans="1:12">
      <c r="A618" s="9" t="str">
        <f t="shared" si="71"/>
        <v>zones</v>
      </c>
      <c r="B618" s="16">
        <f t="shared" si="77"/>
        <v>2</v>
      </c>
      <c r="C618" s="16">
        <f t="shared" si="78"/>
        <v>13</v>
      </c>
      <c r="E618" s="7" t="s">
        <v>161</v>
      </c>
      <c r="F618" s="23" t="s">
        <v>936</v>
      </c>
      <c r="G618" s="7" t="str">
        <f t="shared" si="74"/>
        <v xml:space="preserve">    [z] = CONVERT(decimal(18,3),Column13),</v>
      </c>
      <c r="H618" s="22">
        <v>0</v>
      </c>
      <c r="I618" s="22">
        <v>0</v>
      </c>
      <c r="J618" s="22">
        <v>0</v>
      </c>
      <c r="K618" s="22">
        <v>0</v>
      </c>
      <c r="L618" s="22">
        <v>0</v>
      </c>
    </row>
    <row r="619" spans="1:12">
      <c r="A619" s="9" t="str">
        <f t="shared" si="71"/>
        <v>zones</v>
      </c>
      <c r="B619" s="16">
        <f t="shared" si="77"/>
        <v>1</v>
      </c>
      <c r="C619" s="16">
        <f t="shared" si="78"/>
        <v>14</v>
      </c>
      <c r="E619" s="10" t="s">
        <v>764</v>
      </c>
      <c r="F619" s="23" t="s">
        <v>904</v>
      </c>
      <c r="G619" s="7" t="str">
        <f t="shared" si="74"/>
        <v xml:space="preserve">    [Pickup Bitmap] = CONVERT(smallint,Column14),</v>
      </c>
      <c r="H619" s="22" t="s">
        <v>248</v>
      </c>
      <c r="I619" s="22" t="s">
        <v>248</v>
      </c>
      <c r="J619" s="22" t="s">
        <v>248</v>
      </c>
      <c r="K619" s="22" t="s">
        <v>248</v>
      </c>
      <c r="L619" s="22" t="s">
        <v>248</v>
      </c>
    </row>
    <row r="620" spans="1:12">
      <c r="A620" s="9" t="str">
        <f t="shared" si="71"/>
        <v>zones</v>
      </c>
      <c r="B620" s="16">
        <f t="shared" si="77"/>
        <v>1</v>
      </c>
      <c r="C620" s="16">
        <f t="shared" si="78"/>
        <v>15</v>
      </c>
      <c r="E620" s="10" t="s">
        <v>765</v>
      </c>
      <c r="F620" s="23" t="s">
        <v>904</v>
      </c>
      <c r="G620" s="7" t="str">
        <f t="shared" si="74"/>
        <v xml:space="preserve">    [Putdown Bitmap] = CONVERT(smallint,Column15),</v>
      </c>
      <c r="H620" s="22">
        <v>0</v>
      </c>
      <c r="I620" s="22">
        <v>0</v>
      </c>
      <c r="J620" s="22">
        <v>0</v>
      </c>
      <c r="K620" s="22">
        <v>0</v>
      </c>
      <c r="L620" s="22">
        <v>0</v>
      </c>
    </row>
    <row r="621" spans="1:12">
      <c r="A621" s="9" t="str">
        <f t="shared" si="71"/>
        <v>zones</v>
      </c>
      <c r="B621" s="16">
        <f t="shared" si="77"/>
        <v>1</v>
      </c>
      <c r="C621" s="16">
        <f t="shared" si="78"/>
        <v>16</v>
      </c>
      <c r="E621" s="10" t="s">
        <v>766</v>
      </c>
      <c r="F621" s="23" t="s">
        <v>968</v>
      </c>
      <c r="G621" s="7" t="str">
        <f t="shared" si="74"/>
        <v xml:space="preserve">    [Mv Fin Module] = CONVERT(varchar(32),Column16),</v>
      </c>
      <c r="H621" s="22" t="s">
        <v>767</v>
      </c>
      <c r="I621" s="22" t="s">
        <v>768</v>
      </c>
      <c r="J621" s="22" t="s">
        <v>769</v>
      </c>
      <c r="K621" s="22" t="s">
        <v>770</v>
      </c>
      <c r="L621" s="22" t="s">
        <v>768</v>
      </c>
    </row>
    <row r="622" spans="1:12">
      <c r="A622" s="9" t="str">
        <f t="shared" si="71"/>
        <v>zones</v>
      </c>
      <c r="B622" s="16">
        <f t="shared" si="77"/>
        <v>1</v>
      </c>
      <c r="C622" s="16">
        <f t="shared" si="78"/>
        <v>17</v>
      </c>
      <c r="E622" s="10" t="s">
        <v>772</v>
      </c>
      <c r="F622" s="23" t="s">
        <v>904</v>
      </c>
      <c r="G622" s="7" t="str">
        <f t="shared" si="74"/>
        <v xml:space="preserve">    [Usage Bitmap] = CONVERT(smallint,Column17),</v>
      </c>
      <c r="H622" s="22" t="s">
        <v>773</v>
      </c>
      <c r="I622" s="22" t="s">
        <v>773</v>
      </c>
      <c r="J622" s="22" t="s">
        <v>774</v>
      </c>
      <c r="K622" s="22" t="s">
        <v>774</v>
      </c>
      <c r="L622" s="22" t="s">
        <v>248</v>
      </c>
    </row>
    <row r="623" spans="1:12">
      <c r="A623" s="9" t="str">
        <f>A622</f>
        <v>zones</v>
      </c>
      <c r="C623" s="16">
        <v>0</v>
      </c>
      <c r="G623" s="7" t="str">
        <f>"FROM Kolding.["&amp;A623&amp;"]"</f>
        <v>FROM Kolding.[zones]</v>
      </c>
    </row>
    <row r="624" spans="1:12" s="19" customFormat="1" ht="30" customHeight="1">
      <c r="A624" s="19" t="s">
        <v>171</v>
      </c>
      <c r="B624" s="16">
        <f t="shared" ref="B624:B631" si="79">COUNTIF(E:E,E624)</f>
        <v>0</v>
      </c>
      <c r="C624" s="16">
        <f>IF(A624=A184,C184+1,0)</f>
        <v>0</v>
      </c>
      <c r="D624" s="16"/>
      <c r="E624" s="20"/>
      <c r="F624" s="23"/>
      <c r="G624" s="28"/>
      <c r="H624" s="26"/>
      <c r="I624" s="26"/>
      <c r="J624" s="26"/>
      <c r="K624" s="26"/>
      <c r="L624" s="26"/>
    </row>
    <row r="625" spans="1:12" s="19" customFormat="1">
      <c r="A625" s="19" t="str">
        <f>A624</f>
        <v>Mat0088</v>
      </c>
      <c r="B625" s="16">
        <f t="shared" si="79"/>
        <v>3</v>
      </c>
      <c r="C625" s="16">
        <f>IF(A625=A624,C624+1,0)</f>
        <v>1</v>
      </c>
      <c r="D625" s="16"/>
      <c r="E625" s="21" t="s">
        <v>172</v>
      </c>
      <c r="F625" s="23"/>
      <c r="G625" s="28"/>
      <c r="H625" s="21" t="s">
        <v>172</v>
      </c>
      <c r="I625" s="21" t="s">
        <v>254</v>
      </c>
      <c r="J625" s="21" t="s">
        <v>255</v>
      </c>
      <c r="K625" s="21" t="s">
        <v>262</v>
      </c>
      <c r="L625" s="21" t="s">
        <v>263</v>
      </c>
    </row>
    <row r="626" spans="1:12" s="19" customFormat="1" ht="30" customHeight="1">
      <c r="A626" s="19" t="s">
        <v>947</v>
      </c>
      <c r="B626" s="16">
        <f t="shared" si="79"/>
        <v>0</v>
      </c>
      <c r="C626" s="16">
        <f>IF(A626=A625,C625+1,0)</f>
        <v>0</v>
      </c>
      <c r="D626" s="16"/>
      <c r="E626" s="20"/>
      <c r="F626" s="23"/>
      <c r="G626" s="28"/>
      <c r="H626" s="26"/>
      <c r="I626" s="26"/>
      <c r="J626" s="26"/>
      <c r="K626" s="26"/>
      <c r="L626" s="26"/>
    </row>
    <row r="627" spans="1:12" s="19" customFormat="1">
      <c r="A627" s="19" t="str">
        <f>A626</f>
        <v>materiale-type</v>
      </c>
      <c r="B627" s="16">
        <f t="shared" si="79"/>
        <v>3</v>
      </c>
      <c r="C627" s="16">
        <f>IF(A627=A626,C626+1,0)</f>
        <v>1</v>
      </c>
      <c r="D627" s="16"/>
      <c r="E627" s="21" t="s">
        <v>172</v>
      </c>
      <c r="F627" s="23"/>
      <c r="G627" s="28"/>
      <c r="H627" s="21" t="s">
        <v>300</v>
      </c>
      <c r="I627" s="21" t="s">
        <v>301</v>
      </c>
      <c r="J627" s="21" t="s">
        <v>254</v>
      </c>
      <c r="K627" s="21" t="s">
        <v>255</v>
      </c>
      <c r="L627" s="21" t="s">
        <v>262</v>
      </c>
    </row>
    <row r="628" spans="1:12" s="19" customFormat="1">
      <c r="A628" s="19" t="str">
        <f>A627</f>
        <v>materiale-type</v>
      </c>
      <c r="B628" s="16">
        <f t="shared" si="79"/>
        <v>1</v>
      </c>
      <c r="C628" s="16">
        <f>IF(A628=A627,C627+1,0)</f>
        <v>2</v>
      </c>
      <c r="D628" s="16"/>
      <c r="E628" s="21" t="s">
        <v>173</v>
      </c>
      <c r="F628" s="23"/>
      <c r="G628" s="28"/>
      <c r="H628" s="21" t="s">
        <v>303</v>
      </c>
      <c r="I628" s="21" t="s">
        <v>303</v>
      </c>
      <c r="J628" s="21" t="s">
        <v>303</v>
      </c>
      <c r="K628" s="21" t="s">
        <v>303</v>
      </c>
      <c r="L628" s="21" t="s">
        <v>303</v>
      </c>
    </row>
    <row r="629" spans="1:12" s="19" customFormat="1">
      <c r="A629" s="19" t="str">
        <f>A628</f>
        <v>materiale-type</v>
      </c>
      <c r="B629" s="16">
        <f t="shared" si="79"/>
        <v>1</v>
      </c>
      <c r="C629" s="16">
        <f>IF(A629=A628,C628+1,0)</f>
        <v>3</v>
      </c>
      <c r="D629" s="16"/>
      <c r="E629" s="21" t="s">
        <v>174</v>
      </c>
      <c r="F629" s="23"/>
      <c r="G629" s="28"/>
      <c r="H629" s="21" t="s">
        <v>304</v>
      </c>
      <c r="I629" s="21" t="s">
        <v>304</v>
      </c>
      <c r="J629" s="21" t="s">
        <v>304</v>
      </c>
      <c r="K629" s="21" t="s">
        <v>304</v>
      </c>
      <c r="L629" s="21" t="s">
        <v>304</v>
      </c>
    </row>
    <row r="630" spans="1:12" s="19" customFormat="1" ht="30" customHeight="1">
      <c r="A630" s="19" t="s">
        <v>471</v>
      </c>
      <c r="B630" s="16">
        <f t="shared" si="79"/>
        <v>0</v>
      </c>
      <c r="C630" s="16">
        <f>IF(A630=A388,C388+1,0)</f>
        <v>0</v>
      </c>
      <c r="D630" s="16"/>
      <c r="E630" s="20"/>
      <c r="F630" s="23"/>
      <c r="G630" s="28"/>
      <c r="H630" s="26"/>
      <c r="I630" s="26"/>
      <c r="J630" s="26"/>
      <c r="K630" s="26"/>
      <c r="L630" s="26"/>
    </row>
    <row r="631" spans="1:12" s="19" customFormat="1">
      <c r="A631" s="19" t="str">
        <f>A630</f>
        <v>Sap-materialer</v>
      </c>
      <c r="B631" s="16">
        <f t="shared" si="79"/>
        <v>3</v>
      </c>
      <c r="C631" s="16">
        <f>IF(A631=A630,C630+1,0)</f>
        <v>1</v>
      </c>
      <c r="D631" s="16"/>
      <c r="E631" s="21" t="s">
        <v>172</v>
      </c>
      <c r="F631" s="23"/>
      <c r="G631" s="28"/>
      <c r="H631" s="21" t="s">
        <v>300</v>
      </c>
      <c r="I631" s="21" t="s">
        <v>301</v>
      </c>
      <c r="J631" s="21" t="s">
        <v>254</v>
      </c>
      <c r="K631" s="21" t="s">
        <v>255</v>
      </c>
      <c r="L631" s="21" t="s">
        <v>262</v>
      </c>
    </row>
    <row r="632" spans="1:12">
      <c r="E632" s="6"/>
    </row>
    <row r="633" spans="1:12">
      <c r="E633" s="6"/>
    </row>
    <row r="634" spans="1:12">
      <c r="E634" s="6"/>
    </row>
    <row r="635" spans="1:12">
      <c r="E635" s="6"/>
    </row>
    <row r="636" spans="1:12">
      <c r="E636" s="6"/>
    </row>
    <row r="637" spans="1:12">
      <c r="E637" s="6"/>
    </row>
    <row r="638" spans="1:12">
      <c r="E638" s="6"/>
    </row>
    <row r="639" spans="1:12">
      <c r="E639" s="6"/>
    </row>
    <row r="640" spans="1:12">
      <c r="E640" s="6"/>
    </row>
    <row r="641" spans="5:5">
      <c r="E641" s="6"/>
    </row>
    <row r="642" spans="5:5">
      <c r="E642" s="6"/>
    </row>
    <row r="643" spans="5:5">
      <c r="E643" s="6"/>
    </row>
    <row r="644" spans="5:5">
      <c r="E644" s="6"/>
    </row>
    <row r="645" spans="5:5">
      <c r="E645" s="6"/>
    </row>
    <row r="646" spans="5:5">
      <c r="E646" s="6"/>
    </row>
    <row r="647" spans="5:5">
      <c r="E647" s="6"/>
    </row>
    <row r="648" spans="5:5">
      <c r="E648" s="6"/>
    </row>
    <row r="649" spans="5:5">
      <c r="E649" s="6"/>
    </row>
    <row r="650" spans="5:5">
      <c r="E650" s="6"/>
    </row>
    <row r="651" spans="5:5">
      <c r="E651" s="6"/>
    </row>
    <row r="652" spans="5:5">
      <c r="E652" s="6"/>
    </row>
    <row r="653" spans="5:5">
      <c r="E653" s="6"/>
    </row>
    <row r="654" spans="5:5">
      <c r="E654" s="6"/>
    </row>
    <row r="655" spans="5:5">
      <c r="E655" s="6"/>
    </row>
    <row r="656" spans="5:5">
      <c r="E656" s="6"/>
    </row>
    <row r="657" spans="5:5">
      <c r="E657" s="6"/>
    </row>
    <row r="658" spans="5:5">
      <c r="E658" s="6"/>
    </row>
    <row r="659" spans="5:5">
      <c r="E659" s="6"/>
    </row>
    <row r="660" spans="5:5">
      <c r="E660" s="6"/>
    </row>
    <row r="661" spans="5:5">
      <c r="E661" s="6"/>
    </row>
    <row r="662" spans="5:5">
      <c r="E662" s="6"/>
    </row>
    <row r="663" spans="5:5">
      <c r="E663" s="6"/>
    </row>
    <row r="664" spans="5:5">
      <c r="E664" s="6"/>
    </row>
    <row r="665" spans="5:5">
      <c r="E665" s="6"/>
    </row>
    <row r="666" spans="5:5">
      <c r="E666" s="6"/>
    </row>
    <row r="667" spans="5:5">
      <c r="E667" s="6"/>
    </row>
    <row r="668" spans="5:5">
      <c r="E668" s="6"/>
    </row>
    <row r="669" spans="5:5">
      <c r="E669" s="6"/>
    </row>
    <row r="670" spans="5:5">
      <c r="E670" s="6"/>
    </row>
    <row r="671" spans="5:5">
      <c r="E671" s="6"/>
    </row>
    <row r="672" spans="5:5">
      <c r="E672" s="6"/>
    </row>
    <row r="673" spans="5:5">
      <c r="E673" s="6"/>
    </row>
    <row r="674" spans="5:5">
      <c r="E674" s="6"/>
    </row>
    <row r="675" spans="5:5">
      <c r="E675" s="6"/>
    </row>
    <row r="676" spans="5:5">
      <c r="E676" s="6"/>
    </row>
    <row r="677" spans="5:5">
      <c r="E677" s="6"/>
    </row>
    <row r="678" spans="5:5">
      <c r="E678" s="6"/>
    </row>
    <row r="679" spans="5:5">
      <c r="E679" s="6"/>
    </row>
    <row r="680" spans="5:5">
      <c r="E680" s="6"/>
    </row>
    <row r="681" spans="5:5">
      <c r="E681" s="6"/>
    </row>
    <row r="682" spans="5:5">
      <c r="E682" s="6"/>
    </row>
    <row r="683" spans="5:5">
      <c r="E683" s="6"/>
    </row>
    <row r="684" spans="5:5">
      <c r="E684" s="6"/>
    </row>
    <row r="685" spans="5:5">
      <c r="E685" s="6"/>
    </row>
    <row r="686" spans="5:5">
      <c r="E686" s="6"/>
    </row>
    <row r="687" spans="5:5">
      <c r="E687" s="6"/>
    </row>
    <row r="688" spans="5:5">
      <c r="E688" s="6"/>
    </row>
    <row r="689" spans="5:5">
      <c r="E689" s="6"/>
    </row>
    <row r="690" spans="5:5">
      <c r="E690" s="6"/>
    </row>
    <row r="691" spans="5:5">
      <c r="E691" s="6"/>
    </row>
    <row r="692" spans="5:5">
      <c r="E692" s="6"/>
    </row>
    <row r="693" spans="5:5">
      <c r="E693" s="6"/>
    </row>
    <row r="694" spans="5:5">
      <c r="E694" s="6"/>
    </row>
    <row r="695" spans="5:5">
      <c r="E695" s="6"/>
    </row>
    <row r="696" spans="5:5">
      <c r="E696" s="6"/>
    </row>
    <row r="697" spans="5:5">
      <c r="E697" s="6"/>
    </row>
    <row r="698" spans="5:5">
      <c r="E698" s="6"/>
    </row>
    <row r="699" spans="5:5">
      <c r="E699" s="6"/>
    </row>
    <row r="700" spans="5:5">
      <c r="E700" s="6"/>
    </row>
    <row r="701" spans="5:5">
      <c r="E701" s="6"/>
    </row>
    <row r="702" spans="5:5">
      <c r="E702" s="6"/>
    </row>
    <row r="703" spans="5:5">
      <c r="E703" s="6"/>
    </row>
    <row r="704" spans="5:5">
      <c r="E704" s="6"/>
    </row>
    <row r="705" spans="5:5">
      <c r="E705" s="6"/>
    </row>
    <row r="706" spans="5:5">
      <c r="E706" s="6"/>
    </row>
    <row r="707" spans="5:5">
      <c r="E707" s="6"/>
    </row>
    <row r="708" spans="5:5">
      <c r="E708" s="6"/>
    </row>
    <row r="709" spans="5:5">
      <c r="E709" s="6"/>
    </row>
    <row r="710" spans="5:5">
      <c r="E710" s="6"/>
    </row>
    <row r="711" spans="5:5">
      <c r="E711" s="6"/>
    </row>
    <row r="712" spans="5:5">
      <c r="E712" s="6"/>
    </row>
    <row r="713" spans="5:5">
      <c r="E713" s="6"/>
    </row>
    <row r="714" spans="5:5">
      <c r="E714" s="6"/>
    </row>
    <row r="715" spans="5:5">
      <c r="E715" s="6"/>
    </row>
    <row r="716" spans="5:5">
      <c r="E716" s="6"/>
    </row>
    <row r="717" spans="5:5">
      <c r="E717" s="6"/>
    </row>
    <row r="718" spans="5:5">
      <c r="E718" s="6"/>
    </row>
    <row r="719" spans="5:5">
      <c r="E719" s="6"/>
    </row>
    <row r="720" spans="5:5">
      <c r="E720" s="6"/>
    </row>
    <row r="721" spans="5:5">
      <c r="E721" s="6"/>
    </row>
    <row r="722" spans="5:5">
      <c r="E722" s="6"/>
    </row>
    <row r="723" spans="5:5">
      <c r="E723" s="6"/>
    </row>
    <row r="724" spans="5:5">
      <c r="E724" s="6"/>
    </row>
    <row r="725" spans="5:5">
      <c r="E725" s="6"/>
    </row>
    <row r="726" spans="5:5">
      <c r="E726" s="6"/>
    </row>
    <row r="727" spans="5:5">
      <c r="E727" s="6"/>
    </row>
    <row r="728" spans="5:5">
      <c r="E728" s="6"/>
    </row>
    <row r="729" spans="5:5">
      <c r="E729" s="6"/>
    </row>
    <row r="730" spans="5:5">
      <c r="E730" s="6"/>
    </row>
    <row r="731" spans="5:5">
      <c r="E731" s="6"/>
    </row>
    <row r="732" spans="5:5">
      <c r="E732" s="6"/>
    </row>
    <row r="733" spans="5:5">
      <c r="E733" s="6"/>
    </row>
    <row r="734" spans="5:5">
      <c r="E734" s="6"/>
    </row>
    <row r="735" spans="5:5">
      <c r="E735" s="6"/>
    </row>
    <row r="736" spans="5:5">
      <c r="E736" s="6"/>
    </row>
    <row r="737" spans="5:5">
      <c r="E737" s="6"/>
    </row>
    <row r="738" spans="5:5">
      <c r="E738" s="6"/>
    </row>
    <row r="739" spans="5:5">
      <c r="E739" s="6"/>
    </row>
    <row r="740" spans="5:5">
      <c r="E740" s="6"/>
    </row>
    <row r="741" spans="5:5">
      <c r="E741" s="6"/>
    </row>
    <row r="742" spans="5:5">
      <c r="E742" s="6"/>
    </row>
    <row r="743" spans="5:5">
      <c r="E743" s="6"/>
    </row>
    <row r="744" spans="5:5">
      <c r="E744" s="6"/>
    </row>
    <row r="745" spans="5:5">
      <c r="E745" s="6"/>
    </row>
    <row r="746" spans="5:5">
      <c r="E746" s="6"/>
    </row>
    <row r="747" spans="5:5">
      <c r="E747" s="6"/>
    </row>
    <row r="748" spans="5:5">
      <c r="E748" s="6"/>
    </row>
    <row r="749" spans="5:5">
      <c r="E749" s="6"/>
    </row>
    <row r="750" spans="5:5">
      <c r="E750" s="6"/>
    </row>
    <row r="751" spans="5:5">
      <c r="E751" s="6"/>
    </row>
    <row r="752" spans="5:5">
      <c r="E752" s="6"/>
    </row>
    <row r="753" spans="5:5">
      <c r="E753" s="6"/>
    </row>
    <row r="754" spans="5:5">
      <c r="E754" s="6"/>
    </row>
    <row r="755" spans="5:5">
      <c r="E755" s="6"/>
    </row>
    <row r="756" spans="5:5">
      <c r="E756" s="6"/>
    </row>
    <row r="757" spans="5:5">
      <c r="E757" s="6"/>
    </row>
    <row r="758" spans="5:5">
      <c r="E758" s="6"/>
    </row>
    <row r="759" spans="5:5">
      <c r="E759" s="6"/>
    </row>
    <row r="760" spans="5:5">
      <c r="E760" s="6"/>
    </row>
    <row r="761" spans="5:5">
      <c r="E761" s="6"/>
    </row>
    <row r="762" spans="5:5">
      <c r="E762" s="6"/>
    </row>
    <row r="763" spans="5:5">
      <c r="E763" s="6"/>
    </row>
    <row r="764" spans="5:5">
      <c r="E764" s="6"/>
    </row>
    <row r="765" spans="5:5">
      <c r="E765" s="6"/>
    </row>
    <row r="766" spans="5:5">
      <c r="E766" s="6"/>
    </row>
    <row r="767" spans="5:5">
      <c r="E767" s="6"/>
    </row>
    <row r="768" spans="5:5">
      <c r="E768" s="6"/>
    </row>
    <row r="769" spans="5:5">
      <c r="E769" s="6"/>
    </row>
    <row r="770" spans="5:5">
      <c r="E770" s="6"/>
    </row>
    <row r="771" spans="5:5">
      <c r="E771" s="6"/>
    </row>
    <row r="772" spans="5:5">
      <c r="E772" s="6"/>
    </row>
    <row r="773" spans="5:5">
      <c r="E773" s="6"/>
    </row>
    <row r="774" spans="5:5">
      <c r="E774" s="6"/>
    </row>
    <row r="775" spans="5:5">
      <c r="E775" s="6"/>
    </row>
    <row r="776" spans="5:5">
      <c r="E776" s="6"/>
    </row>
    <row r="777" spans="5:5">
      <c r="E777" s="6"/>
    </row>
    <row r="778" spans="5:5">
      <c r="E778" s="6"/>
    </row>
    <row r="779" spans="5:5">
      <c r="E779" s="6"/>
    </row>
    <row r="780" spans="5:5">
      <c r="E780" s="6"/>
    </row>
    <row r="781" spans="5:5">
      <c r="E781" s="6"/>
    </row>
    <row r="782" spans="5:5">
      <c r="E782" s="6"/>
    </row>
    <row r="783" spans="5:5">
      <c r="E783" s="6"/>
    </row>
    <row r="784" spans="5:5">
      <c r="E784" s="6"/>
    </row>
    <row r="785" spans="5:5">
      <c r="E785" s="6"/>
    </row>
    <row r="786" spans="5:5">
      <c r="E786" s="6"/>
    </row>
    <row r="787" spans="5:5">
      <c r="E787" s="6"/>
    </row>
    <row r="788" spans="5:5">
      <c r="E788" s="6"/>
    </row>
    <row r="789" spans="5:5">
      <c r="E789" s="6"/>
    </row>
    <row r="790" spans="5:5">
      <c r="E790" s="6"/>
    </row>
    <row r="791" spans="5:5">
      <c r="E791" s="6"/>
    </row>
    <row r="792" spans="5:5">
      <c r="E792" s="6"/>
    </row>
    <row r="793" spans="5:5">
      <c r="E793" s="6"/>
    </row>
    <row r="794" spans="5:5">
      <c r="E794" s="6"/>
    </row>
    <row r="795" spans="5:5">
      <c r="E795" s="6"/>
    </row>
    <row r="796" spans="5:5">
      <c r="E796" s="6"/>
    </row>
    <row r="797" spans="5:5">
      <c r="E797" s="6"/>
    </row>
    <row r="798" spans="5:5">
      <c r="E798" s="6"/>
    </row>
    <row r="799" spans="5:5">
      <c r="E799" s="6"/>
    </row>
    <row r="800" spans="5:5">
      <c r="E800" s="6"/>
    </row>
    <row r="801" spans="5:5">
      <c r="E801" s="6"/>
    </row>
    <row r="802" spans="5:5">
      <c r="E802" s="6"/>
    </row>
    <row r="803" spans="5:5">
      <c r="E803" s="6"/>
    </row>
    <row r="804" spans="5:5">
      <c r="E804" s="6"/>
    </row>
    <row r="805" spans="5:5">
      <c r="E805" s="6"/>
    </row>
    <row r="806" spans="5:5">
      <c r="E806" s="6"/>
    </row>
    <row r="807" spans="5:5">
      <c r="E807" s="6"/>
    </row>
    <row r="808" spans="5:5">
      <c r="E808" s="6"/>
    </row>
    <row r="809" spans="5:5">
      <c r="E809" s="6"/>
    </row>
    <row r="810" spans="5:5">
      <c r="E810" s="6"/>
    </row>
    <row r="811" spans="5:5">
      <c r="E811" s="6"/>
    </row>
    <row r="812" spans="5:5">
      <c r="E812" s="6"/>
    </row>
    <row r="813" spans="5:5">
      <c r="E813" s="6"/>
    </row>
    <row r="814" spans="5:5">
      <c r="E814" s="6"/>
    </row>
    <row r="815" spans="5:5">
      <c r="E815" s="6"/>
    </row>
    <row r="816" spans="5:5">
      <c r="E816" s="6"/>
    </row>
    <row r="817" spans="5:5">
      <c r="E817" s="6"/>
    </row>
    <row r="818" spans="5:5">
      <c r="E818" s="6"/>
    </row>
    <row r="819" spans="5:5">
      <c r="E819" s="6"/>
    </row>
    <row r="820" spans="5:5">
      <c r="E820" s="6"/>
    </row>
    <row r="821" spans="5:5">
      <c r="E821" s="6"/>
    </row>
    <row r="822" spans="5:5">
      <c r="E822" s="6"/>
    </row>
    <row r="823" spans="5:5">
      <c r="E823" s="6"/>
    </row>
    <row r="824" spans="5:5">
      <c r="E824" s="6"/>
    </row>
    <row r="825" spans="5:5">
      <c r="E825" s="6"/>
    </row>
    <row r="826" spans="5:5">
      <c r="E826" s="6"/>
    </row>
    <row r="827" spans="5:5">
      <c r="E827" s="6"/>
    </row>
    <row r="828" spans="5:5">
      <c r="E828" s="6"/>
    </row>
    <row r="829" spans="5:5">
      <c r="E829" s="6"/>
    </row>
    <row r="830" spans="5:5">
      <c r="E830" s="6"/>
    </row>
    <row r="831" spans="5:5">
      <c r="E831" s="6"/>
    </row>
    <row r="832" spans="5:5">
      <c r="E832" s="6"/>
    </row>
    <row r="833" spans="5:5">
      <c r="E833" s="6"/>
    </row>
    <row r="834" spans="5:5">
      <c r="E834" s="6"/>
    </row>
    <row r="835" spans="5:5">
      <c r="E835" s="6"/>
    </row>
    <row r="836" spans="5:5">
      <c r="E836" s="6"/>
    </row>
    <row r="837" spans="5:5">
      <c r="E837" s="6"/>
    </row>
    <row r="838" spans="5:5">
      <c r="E838" s="6"/>
    </row>
    <row r="839" spans="5:5">
      <c r="E839" s="6"/>
    </row>
    <row r="840" spans="5:5">
      <c r="E840" s="6"/>
    </row>
    <row r="841" spans="5:5">
      <c r="E841" s="6"/>
    </row>
    <row r="842" spans="5:5">
      <c r="E842" s="6"/>
    </row>
    <row r="843" spans="5:5">
      <c r="E843" s="6"/>
    </row>
    <row r="844" spans="5:5">
      <c r="E844" s="6"/>
    </row>
    <row r="845" spans="5:5">
      <c r="E845" s="6"/>
    </row>
    <row r="846" spans="5:5">
      <c r="E846" s="6"/>
    </row>
    <row r="847" spans="5:5">
      <c r="E847" s="6"/>
    </row>
    <row r="848" spans="5:5">
      <c r="E848" s="6"/>
    </row>
    <row r="849" spans="5:5">
      <c r="E849" s="6"/>
    </row>
    <row r="850" spans="5:5">
      <c r="E850" s="6"/>
    </row>
    <row r="851" spans="5:5">
      <c r="E851" s="6"/>
    </row>
    <row r="852" spans="5:5">
      <c r="E852" s="6"/>
    </row>
    <row r="853" spans="5:5">
      <c r="E853" s="6"/>
    </row>
    <row r="854" spans="5:5">
      <c r="E854" s="6"/>
    </row>
    <row r="855" spans="5:5">
      <c r="E855" s="6"/>
    </row>
    <row r="856" spans="5:5">
      <c r="E856" s="6"/>
    </row>
    <row r="857" spans="5:5">
      <c r="E857" s="6"/>
    </row>
    <row r="858" spans="5:5">
      <c r="E858" s="6"/>
    </row>
    <row r="859" spans="5:5">
      <c r="E859" s="6"/>
    </row>
    <row r="860" spans="5:5">
      <c r="E860" s="6"/>
    </row>
    <row r="861" spans="5:5">
      <c r="E861" s="6"/>
    </row>
    <row r="862" spans="5:5">
      <c r="E862" s="6"/>
    </row>
    <row r="863" spans="5:5">
      <c r="E863" s="6"/>
    </row>
    <row r="864" spans="5:5">
      <c r="E864" s="6"/>
    </row>
    <row r="865" spans="5:5">
      <c r="E865" s="6"/>
    </row>
    <row r="866" spans="5:5">
      <c r="E866" s="6"/>
    </row>
    <row r="867" spans="5:5">
      <c r="E867" s="6"/>
    </row>
    <row r="868" spans="5:5">
      <c r="E868" s="6"/>
    </row>
    <row r="869" spans="5:5">
      <c r="E869" s="6"/>
    </row>
    <row r="870" spans="5:5">
      <c r="E870" s="6"/>
    </row>
    <row r="871" spans="5:5">
      <c r="E871" s="6"/>
    </row>
    <row r="872" spans="5:5">
      <c r="E872" s="6"/>
    </row>
    <row r="873" spans="5:5">
      <c r="E873" s="6"/>
    </row>
    <row r="874" spans="5:5">
      <c r="E874" s="6"/>
    </row>
    <row r="875" spans="5:5">
      <c r="E875" s="6"/>
    </row>
    <row r="876" spans="5:5">
      <c r="E876" s="6"/>
    </row>
    <row r="877" spans="5:5">
      <c r="E877" s="6"/>
    </row>
    <row r="878" spans="5:5">
      <c r="E878" s="6"/>
    </row>
    <row r="879" spans="5:5">
      <c r="E879" s="6"/>
    </row>
    <row r="880" spans="5:5">
      <c r="E880" s="6"/>
    </row>
    <row r="881" spans="5:5">
      <c r="E881" s="6"/>
    </row>
    <row r="882" spans="5:5">
      <c r="E882" s="6"/>
    </row>
    <row r="883" spans="5:5">
      <c r="E883" s="6"/>
    </row>
    <row r="884" spans="5:5">
      <c r="E884" s="6"/>
    </row>
    <row r="885" spans="5:5">
      <c r="E885" s="6"/>
    </row>
    <row r="886" spans="5:5">
      <c r="E886" s="6"/>
    </row>
    <row r="887" spans="5:5">
      <c r="E887" s="6"/>
    </row>
    <row r="888" spans="5:5">
      <c r="E888" s="6"/>
    </row>
    <row r="889" spans="5:5">
      <c r="E889" s="6"/>
    </row>
    <row r="890" spans="5:5">
      <c r="E890" s="6"/>
    </row>
    <row r="891" spans="5:5">
      <c r="E891" s="6"/>
    </row>
    <row r="892" spans="5:5">
      <c r="E892" s="6"/>
    </row>
    <row r="893" spans="5:5">
      <c r="E893" s="6"/>
    </row>
    <row r="894" spans="5:5">
      <c r="E894" s="6"/>
    </row>
    <row r="895" spans="5:5">
      <c r="E895" s="6"/>
    </row>
    <row r="896" spans="5:5">
      <c r="E896" s="6"/>
    </row>
    <row r="897" spans="5:5">
      <c r="E897" s="6"/>
    </row>
    <row r="898" spans="5:5">
      <c r="E898" s="6"/>
    </row>
    <row r="899" spans="5:5">
      <c r="E899" s="6"/>
    </row>
    <row r="900" spans="5:5">
      <c r="E900" s="6"/>
    </row>
    <row r="901" spans="5:5">
      <c r="E901" s="6"/>
    </row>
    <row r="902" spans="5:5">
      <c r="E902" s="6"/>
    </row>
    <row r="903" spans="5:5">
      <c r="E903" s="6"/>
    </row>
    <row r="904" spans="5:5">
      <c r="E904" s="6"/>
    </row>
    <row r="905" spans="5:5">
      <c r="E905" s="6"/>
    </row>
    <row r="906" spans="5:5">
      <c r="E906" s="6"/>
    </row>
    <row r="907" spans="5:5">
      <c r="E907" s="6"/>
    </row>
    <row r="908" spans="5:5">
      <c r="E908" s="6"/>
    </row>
    <row r="909" spans="5:5">
      <c r="E909" s="6"/>
    </row>
    <row r="910" spans="5:5">
      <c r="E910" s="6"/>
    </row>
    <row r="911" spans="5:5">
      <c r="E911" s="6"/>
    </row>
    <row r="912" spans="5:5">
      <c r="E912" s="6"/>
    </row>
    <row r="913" spans="5:5">
      <c r="E913" s="6"/>
    </row>
    <row r="914" spans="5:5">
      <c r="E914" s="6"/>
    </row>
    <row r="915" spans="5:5">
      <c r="E915" s="6"/>
    </row>
    <row r="916" spans="5:5">
      <c r="E916" s="6"/>
    </row>
    <row r="917" spans="5:5">
      <c r="E917" s="6"/>
    </row>
    <row r="918" spans="5:5">
      <c r="E918" s="6"/>
    </row>
    <row r="919" spans="5:5">
      <c r="E919" s="6"/>
    </row>
    <row r="920" spans="5:5">
      <c r="E920" s="6"/>
    </row>
    <row r="921" spans="5:5">
      <c r="E921" s="6"/>
    </row>
    <row r="922" spans="5:5">
      <c r="E922" s="6"/>
    </row>
    <row r="923" spans="5:5">
      <c r="E923" s="6"/>
    </row>
    <row r="924" spans="5:5">
      <c r="E924" s="6"/>
    </row>
    <row r="925" spans="5:5">
      <c r="E925" s="6"/>
    </row>
    <row r="926" spans="5:5">
      <c r="E926" s="6"/>
    </row>
    <row r="927" spans="5:5">
      <c r="E927" s="6"/>
    </row>
    <row r="928" spans="5:5">
      <c r="E928" s="6"/>
    </row>
    <row r="929" spans="5:5">
      <c r="E929" s="6"/>
    </row>
    <row r="930" spans="5:5">
      <c r="E930" s="6"/>
    </row>
    <row r="931" spans="5:5">
      <c r="E931" s="6"/>
    </row>
    <row r="932" spans="5:5">
      <c r="E932" s="6"/>
    </row>
    <row r="933" spans="5:5">
      <c r="E933" s="6"/>
    </row>
    <row r="934" spans="5:5">
      <c r="E934" s="6"/>
    </row>
    <row r="935" spans="5:5">
      <c r="E935" s="6"/>
    </row>
    <row r="936" spans="5:5">
      <c r="E936" s="6"/>
    </row>
    <row r="937" spans="5:5">
      <c r="E937" s="6"/>
    </row>
    <row r="938" spans="5:5">
      <c r="E938" s="6"/>
    </row>
    <row r="939" spans="5:5">
      <c r="E939" s="6"/>
    </row>
    <row r="940" spans="5:5">
      <c r="E940" s="6"/>
    </row>
    <row r="941" spans="5:5">
      <c r="E941" s="6"/>
    </row>
    <row r="942" spans="5:5">
      <c r="E942" s="6"/>
    </row>
    <row r="943" spans="5:5">
      <c r="E943" s="6"/>
    </row>
    <row r="944" spans="5:5">
      <c r="E944" s="6"/>
    </row>
    <row r="945" spans="5:5">
      <c r="E945" s="6"/>
    </row>
    <row r="946" spans="5:5">
      <c r="E946" s="6"/>
    </row>
    <row r="947" spans="5:5">
      <c r="E947" s="6"/>
    </row>
    <row r="948" spans="5:5">
      <c r="E948" s="6"/>
    </row>
    <row r="949" spans="5:5">
      <c r="E949" s="6"/>
    </row>
    <row r="950" spans="5:5">
      <c r="E950" s="6"/>
    </row>
    <row r="951" spans="5:5">
      <c r="E951" s="6"/>
    </row>
    <row r="952" spans="5:5">
      <c r="E952" s="6"/>
    </row>
    <row r="953" spans="5:5">
      <c r="E953" s="6"/>
    </row>
    <row r="954" spans="5:5">
      <c r="E954" s="6"/>
    </row>
    <row r="955" spans="5:5">
      <c r="E955" s="6"/>
    </row>
    <row r="956" spans="5:5">
      <c r="E956" s="6"/>
    </row>
    <row r="957" spans="5:5">
      <c r="E957" s="6"/>
    </row>
    <row r="958" spans="5:5">
      <c r="E958" s="6"/>
    </row>
    <row r="959" spans="5:5">
      <c r="E959" s="6"/>
    </row>
    <row r="960" spans="5:5">
      <c r="E960" s="6"/>
    </row>
    <row r="961" spans="5:5">
      <c r="E961" s="6"/>
    </row>
    <row r="962" spans="5:5">
      <c r="E962" s="6"/>
    </row>
    <row r="963" spans="5:5">
      <c r="E963" s="6"/>
    </row>
    <row r="964" spans="5:5">
      <c r="E964" s="6"/>
    </row>
    <row r="965" spans="5:5">
      <c r="E965" s="6"/>
    </row>
    <row r="966" spans="5:5">
      <c r="E966" s="6"/>
    </row>
    <row r="967" spans="5:5">
      <c r="E967" s="6"/>
    </row>
    <row r="968" spans="5:5">
      <c r="E968" s="6"/>
    </row>
    <row r="969" spans="5:5">
      <c r="E969" s="6"/>
    </row>
    <row r="970" spans="5:5">
      <c r="E970" s="6"/>
    </row>
    <row r="971" spans="5:5">
      <c r="E971" s="6"/>
    </row>
    <row r="972" spans="5:5">
      <c r="E972" s="6"/>
    </row>
    <row r="973" spans="5:5">
      <c r="E973" s="6"/>
    </row>
    <row r="974" spans="5:5">
      <c r="E974" s="6"/>
    </row>
    <row r="975" spans="5:5">
      <c r="E975" s="6"/>
    </row>
    <row r="976" spans="5:5">
      <c r="E976" s="6"/>
    </row>
    <row r="977" spans="5:5">
      <c r="E977" s="6"/>
    </row>
    <row r="978" spans="5:5">
      <c r="E978" s="6"/>
    </row>
    <row r="979" spans="5:5">
      <c r="E979" s="6"/>
    </row>
    <row r="980" spans="5:5">
      <c r="E980" s="6"/>
    </row>
    <row r="981" spans="5:5">
      <c r="E981" s="6"/>
    </row>
    <row r="982" spans="5:5">
      <c r="E982" s="6"/>
    </row>
    <row r="983" spans="5:5">
      <c r="E983" s="6"/>
    </row>
    <row r="984" spans="5:5">
      <c r="E984" s="6"/>
    </row>
    <row r="985" spans="5:5">
      <c r="E985" s="6"/>
    </row>
    <row r="986" spans="5:5">
      <c r="E986" s="6"/>
    </row>
    <row r="987" spans="5:5">
      <c r="E987" s="6"/>
    </row>
    <row r="988" spans="5:5">
      <c r="E988" s="6"/>
    </row>
    <row r="989" spans="5:5">
      <c r="E989" s="6"/>
    </row>
    <row r="990" spans="5:5">
      <c r="E990" s="6"/>
    </row>
    <row r="991" spans="5:5">
      <c r="E991" s="6"/>
    </row>
    <row r="992" spans="5:5">
      <c r="E992" s="6"/>
    </row>
    <row r="993" spans="5:5">
      <c r="E993" s="6"/>
    </row>
    <row r="994" spans="5:5">
      <c r="E994" s="6"/>
    </row>
    <row r="995" spans="5:5">
      <c r="E995" s="6"/>
    </row>
    <row r="996" spans="5:5">
      <c r="E996" s="6"/>
    </row>
    <row r="997" spans="5:5">
      <c r="E997" s="6"/>
    </row>
    <row r="998" spans="5:5">
      <c r="E998" s="6"/>
    </row>
    <row r="999" spans="5:5">
      <c r="E999" s="6"/>
    </row>
    <row r="1000" spans="5:5">
      <c r="E1000" s="6"/>
    </row>
    <row r="1001" spans="5:5">
      <c r="E1001" s="6"/>
    </row>
    <row r="1002" spans="5:5">
      <c r="E1002" s="6"/>
    </row>
    <row r="1003" spans="5:5">
      <c r="E1003" s="6"/>
    </row>
    <row r="1004" spans="5:5">
      <c r="E1004" s="6"/>
    </row>
    <row r="1005" spans="5:5">
      <c r="E1005" s="6"/>
    </row>
    <row r="1006" spans="5:5">
      <c r="E1006" s="6"/>
    </row>
    <row r="1007" spans="5:5">
      <c r="E1007" s="6"/>
    </row>
    <row r="1008" spans="5:5">
      <c r="E1008" s="6"/>
    </row>
    <row r="1009" spans="5:5">
      <c r="E1009" s="6"/>
    </row>
    <row r="1010" spans="5:5">
      <c r="E1010" s="6"/>
    </row>
    <row r="1011" spans="5:5">
      <c r="E1011" s="6"/>
    </row>
    <row r="1012" spans="5:5">
      <c r="E1012" s="6"/>
    </row>
    <row r="1013" spans="5:5">
      <c r="E1013" s="6"/>
    </row>
    <row r="1014" spans="5:5">
      <c r="E1014" s="6"/>
    </row>
    <row r="1015" spans="5:5">
      <c r="E1015" s="6"/>
    </row>
    <row r="1016" spans="5:5">
      <c r="E1016" s="6"/>
    </row>
    <row r="1017" spans="5:5">
      <c r="E1017" s="6"/>
    </row>
    <row r="1018" spans="5:5">
      <c r="E1018" s="6"/>
    </row>
    <row r="1019" spans="5:5">
      <c r="E1019" s="6"/>
    </row>
    <row r="1020" spans="5:5">
      <c r="E1020" s="6"/>
    </row>
    <row r="1021" spans="5:5">
      <c r="E1021" s="6"/>
    </row>
    <row r="1022" spans="5:5">
      <c r="E1022" s="6"/>
    </row>
    <row r="1023" spans="5:5">
      <c r="E1023" s="6"/>
    </row>
    <row r="1024" spans="5:5">
      <c r="E1024" s="6"/>
    </row>
    <row r="1025" spans="5:5">
      <c r="E1025" s="6"/>
    </row>
    <row r="1026" spans="5:5">
      <c r="E1026" s="6"/>
    </row>
    <row r="1027" spans="5:5">
      <c r="E1027" s="6"/>
    </row>
    <row r="1028" spans="5:5">
      <c r="E1028" s="6"/>
    </row>
    <row r="1029" spans="5:5">
      <c r="E1029" s="6"/>
    </row>
    <row r="1030" spans="5:5">
      <c r="E1030" s="6"/>
    </row>
    <row r="1031" spans="5:5">
      <c r="E1031" s="6"/>
    </row>
    <row r="1032" spans="5:5">
      <c r="E1032" s="6"/>
    </row>
    <row r="1033" spans="5:5">
      <c r="E1033" s="6"/>
    </row>
    <row r="1034" spans="5:5">
      <c r="E1034" s="6"/>
    </row>
    <row r="1035" spans="5:5">
      <c r="E1035" s="6"/>
    </row>
    <row r="1036" spans="5:5">
      <c r="E1036" s="6"/>
    </row>
    <row r="1037" spans="5:5">
      <c r="E1037" s="6"/>
    </row>
    <row r="1038" spans="5:5">
      <c r="E1038" s="6"/>
    </row>
    <row r="1039" spans="5:5">
      <c r="E1039" s="6"/>
    </row>
    <row r="1040" spans="5:5">
      <c r="E1040" s="6"/>
    </row>
    <row r="1041" spans="5:5">
      <c r="E1041" s="6"/>
    </row>
    <row r="1042" spans="5:5">
      <c r="E1042" s="6"/>
    </row>
    <row r="1043" spans="5:5">
      <c r="E1043" s="6"/>
    </row>
    <row r="1044" spans="5:5">
      <c r="E1044" s="6"/>
    </row>
    <row r="1045" spans="5:5">
      <c r="E1045" s="6"/>
    </row>
    <row r="1046" spans="5:5">
      <c r="E1046" s="6"/>
    </row>
    <row r="1047" spans="5:5">
      <c r="E1047" s="6"/>
    </row>
    <row r="1048" spans="5:5">
      <c r="E1048" s="6"/>
    </row>
    <row r="1049" spans="5:5">
      <c r="E1049" s="6"/>
    </row>
    <row r="1050" spans="5:5">
      <c r="E1050" s="6"/>
    </row>
    <row r="1051" spans="5:5">
      <c r="E1051" s="6"/>
    </row>
    <row r="1052" spans="5:5">
      <c r="E1052" s="6"/>
    </row>
    <row r="1053" spans="5:5">
      <c r="E1053" s="6"/>
    </row>
    <row r="1054" spans="5:5">
      <c r="E1054" s="6"/>
    </row>
    <row r="1055" spans="5:5">
      <c r="E1055" s="6"/>
    </row>
    <row r="1056" spans="5:5">
      <c r="E1056" s="6"/>
    </row>
    <row r="1057" spans="5:5">
      <c r="E1057" s="6"/>
    </row>
    <row r="1058" spans="5:5">
      <c r="E1058" s="6"/>
    </row>
    <row r="1059" spans="5:5">
      <c r="E1059" s="6"/>
    </row>
    <row r="1060" spans="5:5">
      <c r="E1060" s="6"/>
    </row>
    <row r="1061" spans="5:5">
      <c r="E1061" s="6"/>
    </row>
    <row r="1062" spans="5:5">
      <c r="E1062" s="6"/>
    </row>
    <row r="1063" spans="5:5">
      <c r="E1063" s="6"/>
    </row>
    <row r="1064" spans="5:5">
      <c r="E1064" s="6"/>
    </row>
    <row r="1065" spans="5:5">
      <c r="E1065" s="6"/>
    </row>
    <row r="1066" spans="5:5">
      <c r="E1066" s="6"/>
    </row>
    <row r="1067" spans="5:5">
      <c r="E1067" s="6"/>
    </row>
    <row r="1068" spans="5:5">
      <c r="E1068" s="6"/>
    </row>
    <row r="1069" spans="5:5">
      <c r="E1069" s="6"/>
    </row>
    <row r="1070" spans="5:5">
      <c r="E1070" s="6"/>
    </row>
    <row r="1071" spans="5:5">
      <c r="E1071" s="6"/>
    </row>
    <row r="1072" spans="5:5">
      <c r="E1072" s="6"/>
    </row>
    <row r="1073" spans="5:5">
      <c r="E1073" s="6"/>
    </row>
    <row r="1074" spans="5:5">
      <c r="E1074" s="6"/>
    </row>
    <row r="1075" spans="5:5">
      <c r="E1075" s="6"/>
    </row>
    <row r="1076" spans="5:5">
      <c r="E1076" s="6"/>
    </row>
    <row r="1077" spans="5:5">
      <c r="E1077" s="6"/>
    </row>
    <row r="1078" spans="5:5">
      <c r="E1078" s="6"/>
    </row>
    <row r="1079" spans="5:5">
      <c r="E1079" s="6"/>
    </row>
    <row r="1080" spans="5:5">
      <c r="E1080" s="6"/>
    </row>
    <row r="1081" spans="5:5">
      <c r="E1081" s="6"/>
    </row>
    <row r="1082" spans="5:5">
      <c r="E1082" s="6"/>
    </row>
    <row r="1083" spans="5:5">
      <c r="E1083" s="6"/>
    </row>
    <row r="1084" spans="5:5">
      <c r="E1084" s="6"/>
    </row>
    <row r="1085" spans="5:5">
      <c r="E1085" s="6"/>
    </row>
    <row r="1086" spans="5:5">
      <c r="E1086" s="6"/>
    </row>
    <row r="1087" spans="5:5">
      <c r="E1087" s="6"/>
    </row>
    <row r="1088" spans="5:5">
      <c r="E1088" s="6"/>
    </row>
    <row r="1089" spans="5:5">
      <c r="E1089" s="6"/>
    </row>
    <row r="1090" spans="5:5">
      <c r="E1090" s="6"/>
    </row>
    <row r="1091" spans="5:5">
      <c r="E1091" s="6"/>
    </row>
    <row r="1092" spans="5:5">
      <c r="E1092" s="6"/>
    </row>
    <row r="1093" spans="5:5">
      <c r="E1093" s="6"/>
    </row>
    <row r="1094" spans="5:5">
      <c r="E1094" s="6"/>
    </row>
    <row r="1095" spans="5:5">
      <c r="E1095" s="6"/>
    </row>
    <row r="1096" spans="5:5">
      <c r="E1096" s="6"/>
    </row>
    <row r="1097" spans="5:5">
      <c r="E1097" s="6"/>
    </row>
    <row r="1098" spans="5:5">
      <c r="E1098" s="6"/>
    </row>
    <row r="1099" spans="5:5">
      <c r="E1099" s="6"/>
    </row>
    <row r="1100" spans="5:5">
      <c r="E1100" s="6"/>
    </row>
    <row r="1101" spans="5:5">
      <c r="E1101" s="6"/>
    </row>
    <row r="1102" spans="5:5">
      <c r="E1102" s="6"/>
    </row>
    <row r="1103" spans="5:5">
      <c r="E1103" s="6"/>
    </row>
    <row r="1104" spans="5:5">
      <c r="E1104" s="6"/>
    </row>
    <row r="1105" spans="5:5">
      <c r="E1105" s="6"/>
    </row>
    <row r="1106" spans="5:5">
      <c r="E1106" s="6"/>
    </row>
    <row r="1107" spans="5:5">
      <c r="E1107" s="6"/>
    </row>
    <row r="1108" spans="5:5">
      <c r="E1108" s="6"/>
    </row>
    <row r="1109" spans="5:5">
      <c r="E1109" s="6"/>
    </row>
    <row r="1110" spans="5:5">
      <c r="E1110" s="6"/>
    </row>
    <row r="1111" spans="5:5">
      <c r="E1111" s="6"/>
    </row>
    <row r="1112" spans="5:5">
      <c r="E1112" s="6"/>
    </row>
    <row r="1113" spans="5:5">
      <c r="E1113" s="6"/>
    </row>
    <row r="1114" spans="5:5">
      <c r="E1114" s="6"/>
    </row>
    <row r="1115" spans="5:5">
      <c r="E1115" s="6"/>
    </row>
    <row r="1116" spans="5:5">
      <c r="E1116" s="6"/>
    </row>
    <row r="1117" spans="5:5">
      <c r="E1117" s="6"/>
    </row>
    <row r="1118" spans="5:5">
      <c r="E1118" s="6"/>
    </row>
    <row r="1119" spans="5:5">
      <c r="E1119" s="6"/>
    </row>
    <row r="1120" spans="5:5">
      <c r="E1120" s="6"/>
    </row>
    <row r="1121" spans="5:5">
      <c r="E1121" s="6"/>
    </row>
    <row r="1122" spans="5:5">
      <c r="E1122" s="6"/>
    </row>
    <row r="1123" spans="5:5">
      <c r="E1123" s="6"/>
    </row>
    <row r="1124" spans="5:5">
      <c r="E1124" s="6"/>
    </row>
    <row r="1125" spans="5:5">
      <c r="E1125" s="6"/>
    </row>
    <row r="1126" spans="5:5">
      <c r="E1126" s="6"/>
    </row>
    <row r="1127" spans="5:5">
      <c r="E1127" s="6"/>
    </row>
    <row r="1128" spans="5:5">
      <c r="E1128" s="6"/>
    </row>
    <row r="1129" spans="5:5">
      <c r="E1129" s="6"/>
    </row>
    <row r="1130" spans="5:5">
      <c r="E1130" s="6"/>
    </row>
    <row r="1131" spans="5:5">
      <c r="E1131" s="6"/>
    </row>
    <row r="1132" spans="5:5">
      <c r="E1132" s="6"/>
    </row>
    <row r="1133" spans="5:5">
      <c r="E1133" s="6"/>
    </row>
    <row r="1134" spans="5:5">
      <c r="E1134" s="6"/>
    </row>
    <row r="1135" spans="5:5">
      <c r="E1135" s="6"/>
    </row>
    <row r="1136" spans="5:5">
      <c r="E1136" s="6"/>
    </row>
    <row r="1137" spans="5:5">
      <c r="E1137" s="6"/>
    </row>
    <row r="1138" spans="5:5">
      <c r="E1138" s="6"/>
    </row>
    <row r="1139" spans="5:5">
      <c r="E1139" s="6"/>
    </row>
    <row r="1140" spans="5:5">
      <c r="E1140" s="6"/>
    </row>
    <row r="1141" spans="5:5">
      <c r="E1141" s="6"/>
    </row>
    <row r="1142" spans="5:5">
      <c r="E1142" s="6"/>
    </row>
    <row r="1143" spans="5:5">
      <c r="E1143" s="6"/>
    </row>
    <row r="1144" spans="5:5">
      <c r="E1144" s="6"/>
    </row>
    <row r="1145" spans="5:5">
      <c r="E1145" s="6"/>
    </row>
    <row r="1146" spans="5:5">
      <c r="E1146" s="6"/>
    </row>
    <row r="1147" spans="5:5">
      <c r="E1147" s="6"/>
    </row>
    <row r="1148" spans="5:5">
      <c r="E1148" s="6"/>
    </row>
    <row r="1149" spans="5:5">
      <c r="E1149" s="6"/>
    </row>
    <row r="1150" spans="5:5">
      <c r="E1150" s="6"/>
    </row>
    <row r="1151" spans="5:5">
      <c r="E1151" s="6"/>
    </row>
    <row r="1152" spans="5:5">
      <c r="E1152" s="6"/>
    </row>
    <row r="1153" spans="5:5">
      <c r="E1153" s="6"/>
    </row>
    <row r="1154" spans="5:5">
      <c r="E1154" s="6"/>
    </row>
    <row r="1155" spans="5:5">
      <c r="E1155" s="6"/>
    </row>
    <row r="1156" spans="5:5">
      <c r="E1156" s="6"/>
    </row>
    <row r="1157" spans="5:5">
      <c r="E1157" s="6"/>
    </row>
    <row r="1158" spans="5:5">
      <c r="E1158" s="6"/>
    </row>
    <row r="1159" spans="5:5">
      <c r="E1159" s="6"/>
    </row>
    <row r="1160" spans="5:5">
      <c r="E1160" s="6"/>
    </row>
    <row r="1161" spans="5:5">
      <c r="E1161" s="6"/>
    </row>
    <row r="1162" spans="5:5">
      <c r="E1162" s="6"/>
    </row>
    <row r="1163" spans="5:5">
      <c r="E1163" s="6"/>
    </row>
    <row r="1164" spans="5:5">
      <c r="E1164" s="6"/>
    </row>
    <row r="1165" spans="5:5">
      <c r="E1165" s="6"/>
    </row>
    <row r="1166" spans="5:5">
      <c r="E1166" s="6"/>
    </row>
    <row r="1167" spans="5:5">
      <c r="E1167" s="6"/>
    </row>
    <row r="1168" spans="5:5">
      <c r="E1168" s="6"/>
    </row>
    <row r="1169" spans="5:5">
      <c r="E1169" s="6"/>
    </row>
    <row r="1170" spans="5:5">
      <c r="E1170" s="6"/>
    </row>
    <row r="1171" spans="5:5">
      <c r="E1171" s="6"/>
    </row>
    <row r="1172" spans="5:5">
      <c r="E1172" s="6"/>
    </row>
    <row r="1173" spans="5:5">
      <c r="E1173" s="6"/>
    </row>
    <row r="1174" spans="5:5">
      <c r="E1174" s="6"/>
    </row>
    <row r="1175" spans="5:5">
      <c r="E1175" s="6"/>
    </row>
    <row r="1176" spans="5:5">
      <c r="E1176" s="6"/>
    </row>
    <row r="1177" spans="5:5">
      <c r="E1177" s="6"/>
    </row>
    <row r="1178" spans="5:5">
      <c r="E1178" s="6"/>
    </row>
    <row r="1179" spans="5:5">
      <c r="E1179" s="6"/>
    </row>
    <row r="1180" spans="5:5">
      <c r="E1180" s="6"/>
    </row>
    <row r="1181" spans="5:5">
      <c r="E1181" s="6"/>
    </row>
    <row r="1182" spans="5:5">
      <c r="E1182" s="6"/>
    </row>
    <row r="1183" spans="5:5">
      <c r="E1183" s="6"/>
    </row>
    <row r="1184" spans="5:5">
      <c r="E1184" s="6"/>
    </row>
    <row r="1185" spans="5:5">
      <c r="E1185" s="6"/>
    </row>
    <row r="1186" spans="5:5">
      <c r="E1186" s="6"/>
    </row>
    <row r="1187" spans="5:5">
      <c r="E1187" s="6"/>
    </row>
    <row r="1188" spans="5:5">
      <c r="E1188" s="6"/>
    </row>
    <row r="1189" spans="5:5">
      <c r="E1189" s="6"/>
    </row>
    <row r="1190" spans="5:5">
      <c r="E1190" s="6"/>
    </row>
    <row r="1191" spans="5:5">
      <c r="E1191" s="6"/>
    </row>
    <row r="1192" spans="5:5">
      <c r="E1192" s="6"/>
    </row>
    <row r="1193" spans="5:5">
      <c r="E1193" s="6"/>
    </row>
    <row r="1194" spans="5:5">
      <c r="E1194" s="6"/>
    </row>
    <row r="1195" spans="5:5">
      <c r="E1195" s="6"/>
    </row>
    <row r="1196" spans="5:5">
      <c r="E1196" s="6"/>
    </row>
    <row r="1197" spans="5:5">
      <c r="E1197" s="6"/>
    </row>
    <row r="1198" spans="5:5">
      <c r="E1198" s="6"/>
    </row>
    <row r="1199" spans="5:5">
      <c r="E1199" s="6"/>
    </row>
    <row r="1200" spans="5:5">
      <c r="E1200" s="6"/>
    </row>
    <row r="1201" spans="5:5">
      <c r="E1201" s="6"/>
    </row>
    <row r="1202" spans="5:5">
      <c r="E1202" s="6"/>
    </row>
    <row r="1203" spans="5:5">
      <c r="E1203" s="6"/>
    </row>
    <row r="1204" spans="5:5">
      <c r="E1204" s="6"/>
    </row>
    <row r="1205" spans="5:5">
      <c r="E1205" s="6"/>
    </row>
    <row r="1206" spans="5:5">
      <c r="E1206" s="6"/>
    </row>
    <row r="1207" spans="5:5">
      <c r="E1207" s="6"/>
    </row>
    <row r="1208" spans="5:5">
      <c r="E1208" s="6"/>
    </row>
    <row r="1209" spans="5:5">
      <c r="E1209" s="6"/>
    </row>
    <row r="1210" spans="5:5">
      <c r="E1210" s="6"/>
    </row>
    <row r="1211" spans="5:5">
      <c r="E1211" s="6"/>
    </row>
    <row r="1212" spans="5:5">
      <c r="E1212" s="6"/>
    </row>
    <row r="1213" spans="5:5">
      <c r="E1213" s="6"/>
    </row>
    <row r="1214" spans="5:5">
      <c r="E1214" s="6"/>
    </row>
    <row r="1215" spans="5:5">
      <c r="E1215" s="6"/>
    </row>
  </sheetData>
  <autoFilter ref="A1:L631">
    <filterColumn colId="0"/>
    <filterColumn colId="1"/>
    <filterColumn colId="2"/>
    <filterColumn colId="3"/>
    <filterColumn colId="4"/>
    <filterColumn colId="6"/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28">
    <tabColor rgb="FFFF0000"/>
  </sheetPr>
  <dimension ref="A2:A5"/>
  <sheetViews>
    <sheetView workbookViewId="0">
      <selection activeCell="A32" sqref="A32"/>
    </sheetView>
  </sheetViews>
  <sheetFormatPr defaultRowHeight="15"/>
  <cols>
    <col min="1" max="1" width="68.85546875" bestFit="1" customWidth="1"/>
  </cols>
  <sheetData>
    <row r="2" spans="1:1">
      <c r="A2" t="s">
        <v>849</v>
      </c>
    </row>
    <row r="3" spans="1:1">
      <c r="A3" t="s">
        <v>850</v>
      </c>
    </row>
    <row r="5" spans="1:1">
      <c r="A5" t="s">
        <v>851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2">
    <tabColor rgb="FFFFFF00"/>
  </sheetPr>
  <dimension ref="A1:C104"/>
  <sheetViews>
    <sheetView topLeftCell="A40" workbookViewId="0">
      <selection activeCell="A53" sqref="A53"/>
    </sheetView>
  </sheetViews>
  <sheetFormatPr defaultRowHeight="15"/>
  <cols>
    <col min="1" max="1" width="69" bestFit="1" customWidth="1"/>
  </cols>
  <sheetData>
    <row r="1" spans="1:1">
      <c r="A1" t="s">
        <v>779</v>
      </c>
    </row>
    <row r="3" spans="1:1">
      <c r="A3" t="s">
        <v>780</v>
      </c>
    </row>
    <row r="5" spans="1:1">
      <c r="A5" t="s">
        <v>781</v>
      </c>
    </row>
    <row r="6" spans="1:1">
      <c r="A6" t="s">
        <v>782</v>
      </c>
    </row>
    <row r="7" spans="1:1">
      <c r="A7" t="s">
        <v>783</v>
      </c>
    </row>
    <row r="8" spans="1:1">
      <c r="A8" t="s">
        <v>784</v>
      </c>
    </row>
    <row r="9" spans="1:1">
      <c r="A9" t="s">
        <v>785</v>
      </c>
    </row>
    <row r="10" spans="1:1">
      <c r="A10" t="s">
        <v>784</v>
      </c>
    </row>
    <row r="11" spans="1:1">
      <c r="A11" t="s">
        <v>786</v>
      </c>
    </row>
    <row r="12" spans="1:1">
      <c r="A12" t="s">
        <v>784</v>
      </c>
    </row>
    <row r="13" spans="1:1">
      <c r="A13" t="s">
        <v>783</v>
      </c>
    </row>
    <row r="14" spans="1:1">
      <c r="A14" t="s">
        <v>782</v>
      </c>
    </row>
    <row r="15" spans="1:1">
      <c r="A15" t="s">
        <v>787</v>
      </c>
    </row>
    <row r="16" spans="1:1">
      <c r="A16" t="s">
        <v>788</v>
      </c>
    </row>
    <row r="17" spans="1:1">
      <c r="A17" t="s">
        <v>789</v>
      </c>
    </row>
    <row r="18" spans="1:1">
      <c r="A18" t="s">
        <v>790</v>
      </c>
    </row>
    <row r="19" spans="1:1">
      <c r="A19" t="s">
        <v>791</v>
      </c>
    </row>
    <row r="20" spans="1:1">
      <c r="A20" t="s">
        <v>792</v>
      </c>
    </row>
    <row r="21" spans="1:1">
      <c r="A21" t="s">
        <v>779</v>
      </c>
    </row>
    <row r="23" spans="1:1">
      <c r="A23" t="s">
        <v>793</v>
      </c>
    </row>
    <row r="25" spans="1:1">
      <c r="A25" t="s">
        <v>794</v>
      </c>
    </row>
    <row r="26" spans="1:1">
      <c r="A26" t="s">
        <v>795</v>
      </c>
    </row>
    <row r="27" spans="1:1">
      <c r="A27" t="s">
        <v>796</v>
      </c>
    </row>
    <row r="28" spans="1:1">
      <c r="A28" t="s">
        <v>797</v>
      </c>
    </row>
    <row r="29" spans="1:1">
      <c r="A29" t="s">
        <v>798</v>
      </c>
    </row>
    <row r="30" spans="1:1">
      <c r="A30" t="s">
        <v>799</v>
      </c>
    </row>
    <row r="31" spans="1:1">
      <c r="A31" t="s">
        <v>779</v>
      </c>
    </row>
    <row r="33" spans="1:3">
      <c r="A33" t="s">
        <v>800</v>
      </c>
    </row>
    <row r="35" spans="1:3">
      <c r="A35" t="s">
        <v>799</v>
      </c>
    </row>
    <row r="36" spans="1:3">
      <c r="A36" t="s">
        <v>801</v>
      </c>
    </row>
    <row r="37" spans="1:3">
      <c r="A37" t="s">
        <v>802</v>
      </c>
    </row>
    <row r="38" spans="1:3">
      <c r="A38" t="s">
        <v>803</v>
      </c>
    </row>
    <row r="39" spans="1:3">
      <c r="A39" t="s">
        <v>804</v>
      </c>
    </row>
    <row r="41" spans="1:3">
      <c r="A41" t="s">
        <v>779</v>
      </c>
    </row>
    <row r="42" spans="1:3">
      <c r="B42" s="15" t="s">
        <v>903</v>
      </c>
      <c r="C42" s="14" t="s">
        <v>900</v>
      </c>
    </row>
    <row r="43" spans="1:3">
      <c r="A43" t="s">
        <v>805</v>
      </c>
      <c r="B43" s="15" t="s">
        <v>903</v>
      </c>
      <c r="C43" s="14" t="s">
        <v>901</v>
      </c>
    </row>
    <row r="44" spans="1:3">
      <c r="B44" s="15" t="s">
        <v>903</v>
      </c>
      <c r="C44" s="14" t="s">
        <v>902</v>
      </c>
    </row>
    <row r="45" spans="1:3">
      <c r="A45" t="s">
        <v>799</v>
      </c>
    </row>
    <row r="46" spans="1:3">
      <c r="A46" t="s">
        <v>802</v>
      </c>
    </row>
    <row r="47" spans="1:3">
      <c r="A47" t="s">
        <v>806</v>
      </c>
      <c r="B47">
        <f>FIND(" ",A47,10)</f>
        <v>26</v>
      </c>
      <c r="C47" t="str">
        <f>MID(A47,8,B47-8)</f>
        <v>alarms.dat.extract</v>
      </c>
    </row>
    <row r="48" spans="1:3">
      <c r="A48" t="s">
        <v>807</v>
      </c>
      <c r="B48">
        <f t="shared" ref="B48:B84" si="0">FIND(" ",A48,10)</f>
        <v>29</v>
      </c>
      <c r="C48" t="str">
        <f t="shared" ref="C48:C84" si="1">MID(A48,8,B48-8)</f>
        <v>cont_size.dat.extract</v>
      </c>
    </row>
    <row r="49" spans="1:3">
      <c r="A49" t="s">
        <v>808</v>
      </c>
      <c r="B49">
        <f t="shared" si="0"/>
        <v>29</v>
      </c>
      <c r="C49" t="str">
        <f t="shared" si="1"/>
        <v>cont_type.dat.extract</v>
      </c>
    </row>
    <row r="50" spans="1:3">
      <c r="A50" t="s">
        <v>809</v>
      </c>
      <c r="B50">
        <f t="shared" si="0"/>
        <v>29</v>
      </c>
      <c r="C50" t="str">
        <f t="shared" si="1"/>
        <v>container.dat.extract</v>
      </c>
    </row>
    <row r="51" spans="1:3">
      <c r="A51" t="s">
        <v>810</v>
      </c>
      <c r="B51">
        <f t="shared" si="0"/>
        <v>34</v>
      </c>
      <c r="C51" t="str">
        <f t="shared" si="1"/>
        <v>customer_label.dat.extract</v>
      </c>
    </row>
    <row r="52" spans="1:3">
      <c r="A52" t="s">
        <v>811</v>
      </c>
      <c r="B52">
        <f t="shared" si="0"/>
        <v>35</v>
      </c>
      <c r="C52" t="str">
        <f t="shared" si="1"/>
        <v>empty_container.dat.extract</v>
      </c>
    </row>
    <row r="53" spans="1:3">
      <c r="A53" t="s">
        <v>812</v>
      </c>
      <c r="B53">
        <f t="shared" si="0"/>
        <v>24</v>
      </c>
      <c r="C53" t="str">
        <f t="shared" si="1"/>
        <v>item.dat.extract</v>
      </c>
    </row>
    <row r="54" spans="1:3">
      <c r="A54" t="s">
        <v>813</v>
      </c>
      <c r="B54">
        <f t="shared" si="0"/>
        <v>29</v>
      </c>
      <c r="C54" t="str">
        <f t="shared" si="1"/>
        <v>item_conf.dat.extract</v>
      </c>
    </row>
    <row r="55" spans="1:3">
      <c r="A55" t="s">
        <v>814</v>
      </c>
      <c r="B55">
        <f t="shared" si="0"/>
        <v>28</v>
      </c>
      <c r="C55" t="str">
        <f t="shared" si="1"/>
        <v>item_ext.dat.extract</v>
      </c>
    </row>
    <row r="56" spans="1:3">
      <c r="A56" t="s">
        <v>815</v>
      </c>
      <c r="B56">
        <f t="shared" si="0"/>
        <v>28</v>
      </c>
      <c r="C56" t="str">
        <f t="shared" si="1"/>
        <v>lmg_sscc.dat.extract</v>
      </c>
    </row>
    <row r="57" spans="1:3">
      <c r="A57" t="s">
        <v>816</v>
      </c>
      <c r="B57">
        <f t="shared" si="0"/>
        <v>28</v>
      </c>
      <c r="C57" t="str">
        <f t="shared" si="1"/>
        <v>location.dat.extract</v>
      </c>
    </row>
    <row r="58" spans="1:3">
      <c r="A58" t="s">
        <v>817</v>
      </c>
      <c r="B58">
        <f t="shared" si="0"/>
        <v>30</v>
      </c>
      <c r="C58" t="str">
        <f t="shared" si="1"/>
        <v>mhe_errors.dat.extract</v>
      </c>
    </row>
    <row r="59" spans="1:3">
      <c r="A59" t="s">
        <v>818</v>
      </c>
      <c r="B59">
        <f t="shared" si="0"/>
        <v>34</v>
      </c>
      <c r="C59" t="str">
        <f t="shared" si="1"/>
        <v>mhe_error_desc.dat.extract</v>
      </c>
    </row>
    <row r="60" spans="1:3">
      <c r="A60" t="s">
        <v>819</v>
      </c>
      <c r="B60">
        <f t="shared" si="0"/>
        <v>29</v>
      </c>
      <c r="C60" t="str">
        <f t="shared" si="1"/>
        <v>mhe_event.dat.extract</v>
      </c>
    </row>
    <row r="61" spans="1:3">
      <c r="A61" t="s">
        <v>820</v>
      </c>
      <c r="B61">
        <f t="shared" si="0"/>
        <v>28</v>
      </c>
      <c r="C61" t="str">
        <f t="shared" si="1"/>
        <v>mhe_info.dat.extract</v>
      </c>
    </row>
    <row r="62" spans="1:3">
      <c r="A62" t="s">
        <v>821</v>
      </c>
      <c r="B62">
        <f t="shared" si="0"/>
        <v>29</v>
      </c>
      <c r="C62" t="str">
        <f t="shared" si="1"/>
        <v>movements.dat.extract</v>
      </c>
    </row>
    <row r="63" spans="1:3">
      <c r="A63" t="s">
        <v>822</v>
      </c>
      <c r="B63">
        <f t="shared" si="0"/>
        <v>34</v>
      </c>
      <c r="C63" t="str">
        <f t="shared" si="1"/>
        <v>operator_event.dat.extract</v>
      </c>
    </row>
    <row r="64" spans="1:3">
      <c r="A64" t="s">
        <v>823</v>
      </c>
      <c r="B64">
        <f t="shared" si="0"/>
        <v>26</v>
      </c>
      <c r="C64" t="str">
        <f t="shared" si="1"/>
        <v>params.dat.extract</v>
      </c>
    </row>
    <row r="65" spans="1:3">
      <c r="A65" t="s">
        <v>824</v>
      </c>
      <c r="B65">
        <f t="shared" si="0"/>
        <v>35</v>
      </c>
      <c r="C65" t="str">
        <f t="shared" si="1"/>
        <v>partner_address.dat.extract</v>
      </c>
    </row>
    <row r="66" spans="1:3">
      <c r="A66" t="s">
        <v>825</v>
      </c>
      <c r="B66">
        <f t="shared" si="0"/>
        <v>32</v>
      </c>
      <c r="C66" t="str">
        <f t="shared" si="1"/>
        <v>partner_info.dat.extract</v>
      </c>
    </row>
    <row r="67" spans="1:3">
      <c r="A67" t="s">
        <v>826</v>
      </c>
      <c r="B67">
        <f t="shared" si="0"/>
        <v>33</v>
      </c>
      <c r="C67" t="str">
        <f t="shared" si="1"/>
        <v>pick_category.dat.extract</v>
      </c>
    </row>
    <row r="68" spans="1:3">
      <c r="A68" t="s">
        <v>827</v>
      </c>
      <c r="B68">
        <f t="shared" si="0"/>
        <v>30</v>
      </c>
      <c r="C68" t="str">
        <f t="shared" si="1"/>
        <v>pick_count.dat.extract</v>
      </c>
    </row>
    <row r="69" spans="1:3">
      <c r="A69" t="s">
        <v>828</v>
      </c>
      <c r="B69">
        <f t="shared" si="0"/>
        <v>28</v>
      </c>
      <c r="C69" t="str">
        <f t="shared" si="1"/>
        <v>pick_req.dat.extract</v>
      </c>
    </row>
    <row r="70" spans="1:3">
      <c r="A70" t="s">
        <v>829</v>
      </c>
      <c r="B70">
        <f t="shared" si="0"/>
        <v>27</v>
      </c>
      <c r="C70" t="str">
        <f t="shared" si="1"/>
        <v>putaway.dat.extract</v>
      </c>
    </row>
    <row r="71" spans="1:3">
      <c r="A71" t="s">
        <v>830</v>
      </c>
      <c r="B71">
        <f t="shared" si="0"/>
        <v>30</v>
      </c>
      <c r="C71" t="str">
        <f t="shared" si="1"/>
        <v>replen_qty.dat.extract</v>
      </c>
    </row>
    <row r="72" spans="1:3">
      <c r="A72" t="s">
        <v>831</v>
      </c>
      <c r="B72">
        <f t="shared" si="0"/>
        <v>34</v>
      </c>
      <c r="C72" t="str">
        <f t="shared" si="1"/>
        <v>stock_assembly.dat.extract</v>
      </c>
    </row>
    <row r="73" spans="1:3">
      <c r="A73" t="s">
        <v>832</v>
      </c>
      <c r="B73">
        <f t="shared" si="0"/>
        <v>30</v>
      </c>
      <c r="C73" t="str">
        <f t="shared" si="1"/>
        <v>stock_req2.dat.extract</v>
      </c>
    </row>
    <row r="74" spans="1:3">
      <c r="A74" t="s">
        <v>833</v>
      </c>
      <c r="B74">
        <f t="shared" si="0"/>
        <v>29</v>
      </c>
      <c r="C74" t="str">
        <f t="shared" si="1"/>
        <v>stock_req.dat.extract</v>
      </c>
    </row>
    <row r="75" spans="1:3">
      <c r="A75" t="s">
        <v>834</v>
      </c>
      <c r="B75">
        <f t="shared" si="0"/>
        <v>32</v>
      </c>
      <c r="C75" t="str">
        <f t="shared" si="1"/>
        <v>stock_spread.dat.extract</v>
      </c>
    </row>
    <row r="76" spans="1:3">
      <c r="A76" t="s">
        <v>835</v>
      </c>
      <c r="B76">
        <f t="shared" si="0"/>
        <v>25</v>
      </c>
      <c r="C76" t="str">
        <f t="shared" si="1"/>
        <v>stock.dat.extract</v>
      </c>
    </row>
    <row r="77" spans="1:3">
      <c r="A77" t="s">
        <v>836</v>
      </c>
      <c r="B77">
        <f t="shared" si="0"/>
        <v>26</v>
      </c>
      <c r="C77" t="str">
        <f t="shared" si="1"/>
        <v>supply.dat.extract</v>
      </c>
    </row>
    <row r="78" spans="1:3">
      <c r="A78" t="s">
        <v>837</v>
      </c>
      <c r="B78">
        <f t="shared" si="0"/>
        <v>25</v>
      </c>
      <c r="C78" t="str">
        <f t="shared" si="1"/>
        <v>users.dat.extract</v>
      </c>
    </row>
    <row r="79" spans="1:3">
      <c r="A79" t="s">
        <v>838</v>
      </c>
      <c r="B79">
        <f t="shared" si="0"/>
        <v>38</v>
      </c>
      <c r="C79" t="str">
        <f t="shared" si="1"/>
        <v>wcs_alloc_priority.dat.extract</v>
      </c>
    </row>
    <row r="80" spans="1:3">
      <c r="A80" t="s">
        <v>839</v>
      </c>
      <c r="B80">
        <f t="shared" si="0"/>
        <v>34</v>
      </c>
      <c r="C80" t="str">
        <f t="shared" si="1"/>
        <v>wcs_alloc_zone.dat.extract</v>
      </c>
    </row>
    <row r="81" spans="1:3">
      <c r="A81" t="s">
        <v>840</v>
      </c>
      <c r="B81">
        <f t="shared" si="0"/>
        <v>29</v>
      </c>
      <c r="C81" t="str">
        <f t="shared" si="1"/>
        <v>wms_order.dat.extract</v>
      </c>
    </row>
    <row r="82" spans="1:3">
      <c r="A82" t="s">
        <v>841</v>
      </c>
      <c r="B82">
        <f t="shared" si="0"/>
        <v>34</v>
      </c>
      <c r="C82" t="str">
        <f t="shared" si="1"/>
        <v>wms_order_line.dat.extract</v>
      </c>
    </row>
    <row r="83" spans="1:3">
      <c r="A83" t="s">
        <v>842</v>
      </c>
      <c r="B83">
        <f t="shared" si="0"/>
        <v>31</v>
      </c>
      <c r="C83" t="str">
        <f t="shared" si="1"/>
        <v>workstation.dat.extract</v>
      </c>
    </row>
    <row r="84" spans="1:3">
      <c r="A84" t="s">
        <v>843</v>
      </c>
      <c r="B84">
        <f t="shared" si="0"/>
        <v>25</v>
      </c>
      <c r="C84" t="str">
        <f t="shared" si="1"/>
        <v>zones.dat.extract</v>
      </c>
    </row>
    <row r="85" spans="1:3">
      <c r="A85" t="s">
        <v>804</v>
      </c>
    </row>
    <row r="86" spans="1:3">
      <c r="A86" t="s">
        <v>779</v>
      </c>
    </row>
    <row r="88" spans="1:3">
      <c r="A88" t="s">
        <v>844</v>
      </c>
    </row>
    <row r="90" spans="1:3">
      <c r="A90" t="s">
        <v>799</v>
      </c>
    </row>
    <row r="91" spans="1:3">
      <c r="A91" t="s">
        <v>802</v>
      </c>
    </row>
    <row r="92" spans="1:3">
      <c r="A92" t="s">
        <v>845</v>
      </c>
    </row>
    <row r="93" spans="1:3">
      <c r="A93" t="s">
        <v>804</v>
      </c>
    </row>
    <row r="95" spans="1:3">
      <c r="A95" t="s">
        <v>779</v>
      </c>
    </row>
    <row r="97" spans="1:1">
      <c r="A97" t="s">
        <v>846</v>
      </c>
    </row>
    <row r="99" spans="1:1">
      <c r="A99" t="s">
        <v>799</v>
      </c>
    </row>
    <row r="100" spans="1:1">
      <c r="A100" t="s">
        <v>847</v>
      </c>
    </row>
    <row r="101" spans="1:1">
      <c r="A101" t="s">
        <v>848</v>
      </c>
    </row>
    <row r="102" spans="1:1">
      <c r="A102" t="s">
        <v>794</v>
      </c>
    </row>
    <row r="104" spans="1:1">
      <c r="A104" t="s">
        <v>779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7">
    <tabColor theme="7" tint="0.39997558519241921"/>
  </sheetPr>
  <dimension ref="A1:F10"/>
  <sheetViews>
    <sheetView workbookViewId="0">
      <selection activeCell="A3" sqref="A3:A10"/>
    </sheetView>
  </sheetViews>
  <sheetFormatPr defaultRowHeight="15"/>
  <cols>
    <col min="1" max="1" width="16.7109375" bestFit="1" customWidth="1"/>
    <col min="2" max="6" width="26.140625" customWidth="1"/>
  </cols>
  <sheetData>
    <row r="1" spans="1:6">
      <c r="A1" t="s">
        <v>154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98</v>
      </c>
      <c r="B5" s="3" t="s">
        <v>265</v>
      </c>
      <c r="C5" s="3" t="s">
        <v>266</v>
      </c>
      <c r="D5" s="3" t="s">
        <v>267</v>
      </c>
      <c r="E5" s="3" t="s">
        <v>268</v>
      </c>
      <c r="F5" s="3" t="s">
        <v>269</v>
      </c>
    </row>
    <row r="6" spans="1:6">
      <c r="A6" s="2" t="s">
        <v>149</v>
      </c>
      <c r="B6" s="3" t="s">
        <v>53</v>
      </c>
      <c r="C6" s="3" t="s">
        <v>53</v>
      </c>
      <c r="D6" s="3" t="s">
        <v>53</v>
      </c>
      <c r="E6" s="3" t="s">
        <v>53</v>
      </c>
      <c r="F6" s="3" t="s">
        <v>53</v>
      </c>
    </row>
    <row r="7" spans="1:6">
      <c r="A7" s="2" t="s">
        <v>150</v>
      </c>
      <c r="B7" s="4">
        <v>0</v>
      </c>
      <c r="C7" s="4">
        <v>0</v>
      </c>
      <c r="D7" s="4">
        <v>0</v>
      </c>
      <c r="E7" s="4">
        <v>0</v>
      </c>
      <c r="F7" s="4">
        <v>0</v>
      </c>
    </row>
    <row r="8" spans="1:6">
      <c r="A8" s="2" t="s">
        <v>151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152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</row>
    <row r="10" spans="1:6">
      <c r="A10" s="2" t="s">
        <v>153</v>
      </c>
      <c r="B10" s="3" t="s">
        <v>53</v>
      </c>
      <c r="C10" s="3" t="s">
        <v>53</v>
      </c>
      <c r="D10" s="3" t="s">
        <v>53</v>
      </c>
      <c r="E10" s="3" t="s">
        <v>53</v>
      </c>
      <c r="F10" s="3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3">
    <tabColor theme="7" tint="0.39997558519241921"/>
  </sheetPr>
  <dimension ref="A1:F29"/>
  <sheetViews>
    <sheetView workbookViewId="0">
      <selection activeCell="C34" sqref="C34"/>
    </sheetView>
  </sheetViews>
  <sheetFormatPr defaultRowHeight="15"/>
  <cols>
    <col min="1" max="1" width="18.42578125" bestFit="1" customWidth="1"/>
    <col min="2" max="6" width="23.5703125" customWidth="1"/>
  </cols>
  <sheetData>
    <row r="1" spans="1:6">
      <c r="A1" t="s">
        <v>0</v>
      </c>
    </row>
    <row r="3" spans="1:6">
      <c r="A3" s="2" t="s">
        <v>1</v>
      </c>
      <c r="B3" s="3" t="s">
        <v>216</v>
      </c>
      <c r="C3" s="3" t="s">
        <v>217</v>
      </c>
      <c r="D3" s="3" t="s">
        <v>218</v>
      </c>
      <c r="E3" s="3" t="s">
        <v>219</v>
      </c>
      <c r="F3" s="3" t="s">
        <v>220</v>
      </c>
    </row>
    <row r="4" spans="1:6">
      <c r="A4" s="2" t="s">
        <v>2</v>
      </c>
      <c r="B4" s="3" t="s">
        <v>221</v>
      </c>
      <c r="C4" s="3" t="s">
        <v>222</v>
      </c>
      <c r="D4" s="3" t="s">
        <v>223</v>
      </c>
      <c r="E4" s="3" t="s">
        <v>224</v>
      </c>
      <c r="F4" s="3" t="s">
        <v>225</v>
      </c>
    </row>
    <row r="5" spans="1:6">
      <c r="A5" s="2" t="s">
        <v>3</v>
      </c>
      <c r="B5" s="3" t="s">
        <v>226</v>
      </c>
      <c r="C5" s="3" t="s">
        <v>227</v>
      </c>
      <c r="D5" s="3" t="s">
        <v>228</v>
      </c>
      <c r="E5" s="3" t="s">
        <v>229</v>
      </c>
      <c r="F5" s="3" t="s">
        <v>230</v>
      </c>
    </row>
    <row r="6" spans="1:6">
      <c r="A6" s="2" t="s">
        <v>4</v>
      </c>
      <c r="B6" s="3" t="s">
        <v>231</v>
      </c>
      <c r="C6" s="3" t="s">
        <v>231</v>
      </c>
      <c r="D6" s="3" t="s">
        <v>231</v>
      </c>
      <c r="E6" s="3" t="s">
        <v>231</v>
      </c>
      <c r="F6" s="3" t="s">
        <v>231</v>
      </c>
    </row>
    <row r="7" spans="1:6">
      <c r="A7" s="2" t="s">
        <v>5</v>
      </c>
      <c r="B7" s="4">
        <v>959</v>
      </c>
      <c r="C7" s="4">
        <v>1184</v>
      </c>
      <c r="D7" s="4">
        <v>2973.8</v>
      </c>
      <c r="E7" s="4">
        <v>1039.9000000000001</v>
      </c>
      <c r="F7" s="4">
        <v>1250</v>
      </c>
    </row>
    <row r="8" spans="1:6">
      <c r="A8" s="2" t="s">
        <v>6</v>
      </c>
      <c r="B8" s="4">
        <v>135</v>
      </c>
      <c r="C8" s="4">
        <v>135</v>
      </c>
      <c r="D8" s="4">
        <v>135</v>
      </c>
      <c r="E8" s="4">
        <v>135</v>
      </c>
      <c r="F8" s="4">
        <v>135</v>
      </c>
    </row>
    <row r="9" spans="1:6">
      <c r="A9" s="2" t="s">
        <v>7</v>
      </c>
      <c r="B9" s="3" t="s">
        <v>232</v>
      </c>
      <c r="C9" s="3" t="s">
        <v>232</v>
      </c>
      <c r="D9" s="3" t="s">
        <v>232</v>
      </c>
      <c r="E9" s="3" t="s">
        <v>232</v>
      </c>
      <c r="F9" s="3" t="s">
        <v>232</v>
      </c>
    </row>
    <row r="10" spans="1:6">
      <c r="A10" s="2" t="s">
        <v>8</v>
      </c>
      <c r="B10" s="3" t="s">
        <v>232</v>
      </c>
      <c r="C10" s="3" t="s">
        <v>233</v>
      </c>
      <c r="D10" s="3" t="s">
        <v>233</v>
      </c>
      <c r="E10" s="3" t="s">
        <v>233</v>
      </c>
      <c r="F10" s="3" t="s">
        <v>233</v>
      </c>
    </row>
    <row r="11" spans="1:6">
      <c r="A11" s="2" t="s">
        <v>9</v>
      </c>
      <c r="B11" s="3" t="s">
        <v>234</v>
      </c>
      <c r="C11" s="3" t="s">
        <v>235</v>
      </c>
      <c r="D11" s="3" t="s">
        <v>236</v>
      </c>
      <c r="E11" s="3" t="s">
        <v>237</v>
      </c>
      <c r="F11" s="3" t="s">
        <v>238</v>
      </c>
    </row>
    <row r="12" spans="1:6">
      <c r="A12" s="2" t="s">
        <v>10</v>
      </c>
      <c r="B12" s="3" t="s">
        <v>239</v>
      </c>
      <c r="C12" s="3" t="s">
        <v>239</v>
      </c>
      <c r="D12" s="3" t="s">
        <v>239</v>
      </c>
      <c r="E12" s="3" t="s">
        <v>239</v>
      </c>
      <c r="F12" s="3" t="s">
        <v>240</v>
      </c>
    </row>
    <row r="13" spans="1:6">
      <c r="A13" s="2" t="s">
        <v>11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</row>
    <row r="14" spans="1:6">
      <c r="A14" s="2" t="s">
        <v>12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</row>
    <row r="15" spans="1:6">
      <c r="A15" s="2" t="s">
        <v>13</v>
      </c>
      <c r="B15" s="3" t="s">
        <v>241</v>
      </c>
      <c r="C15" s="3" t="s">
        <v>241</v>
      </c>
      <c r="D15" s="3" t="s">
        <v>241</v>
      </c>
      <c r="E15" s="3" t="s">
        <v>241</v>
      </c>
      <c r="F15" s="3" t="s">
        <v>241</v>
      </c>
    </row>
    <row r="16" spans="1:6">
      <c r="A16" s="2" t="s">
        <v>14</v>
      </c>
      <c r="B16" s="3" t="s">
        <v>241</v>
      </c>
      <c r="C16" s="3" t="s">
        <v>241</v>
      </c>
      <c r="D16" s="3" t="s">
        <v>241</v>
      </c>
      <c r="E16" s="3" t="s">
        <v>241</v>
      </c>
      <c r="F16" s="3" t="s">
        <v>241</v>
      </c>
    </row>
    <row r="17" spans="1:6">
      <c r="A17" s="2" t="s">
        <v>15</v>
      </c>
      <c r="B17" s="3" t="s">
        <v>242</v>
      </c>
      <c r="C17" s="3" t="s">
        <v>243</v>
      </c>
      <c r="D17" s="3" t="s">
        <v>244</v>
      </c>
      <c r="E17" s="3" t="s">
        <v>245</v>
      </c>
      <c r="F17" s="3" t="s">
        <v>246</v>
      </c>
    </row>
    <row r="18" spans="1:6">
      <c r="A18" s="2" t="s">
        <v>16</v>
      </c>
      <c r="B18" s="3" t="s">
        <v>247</v>
      </c>
      <c r="C18" s="3" t="s">
        <v>247</v>
      </c>
      <c r="D18" s="3" t="s">
        <v>247</v>
      </c>
      <c r="E18" s="3" t="s">
        <v>247</v>
      </c>
      <c r="F18" s="3" t="s">
        <v>247</v>
      </c>
    </row>
    <row r="19" spans="1:6">
      <c r="A19" s="2" t="s">
        <v>17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</row>
    <row r="20" spans="1:6">
      <c r="A20" s="2" t="s">
        <v>18</v>
      </c>
      <c r="B20" s="3" t="s">
        <v>248</v>
      </c>
      <c r="C20" s="3" t="s">
        <v>248</v>
      </c>
      <c r="D20" s="3" t="s">
        <v>248</v>
      </c>
      <c r="E20" s="3" t="s">
        <v>248</v>
      </c>
      <c r="F20" s="3" t="s">
        <v>248</v>
      </c>
    </row>
    <row r="21" spans="1:6">
      <c r="A21" s="2" t="s">
        <v>19</v>
      </c>
      <c r="B21" s="3" t="s">
        <v>248</v>
      </c>
      <c r="C21" s="3" t="s">
        <v>248</v>
      </c>
      <c r="D21" s="3" t="s">
        <v>248</v>
      </c>
      <c r="E21" s="3" t="s">
        <v>248</v>
      </c>
      <c r="F21" s="3" t="s">
        <v>248</v>
      </c>
    </row>
    <row r="22" spans="1:6">
      <c r="A22" s="2" t="s">
        <v>20</v>
      </c>
      <c r="B22" s="3" t="s">
        <v>249</v>
      </c>
      <c r="C22" s="3" t="s">
        <v>250</v>
      </c>
      <c r="D22" s="3" t="s">
        <v>251</v>
      </c>
      <c r="E22" s="3" t="s">
        <v>252</v>
      </c>
      <c r="F22" s="3" t="s">
        <v>253</v>
      </c>
    </row>
    <row r="23" spans="1:6">
      <c r="A23" s="2" t="s">
        <v>21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22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</row>
    <row r="25" spans="1:6">
      <c r="A25" s="2" t="s">
        <v>23</v>
      </c>
      <c r="B25" s="3" t="s">
        <v>248</v>
      </c>
      <c r="C25" s="3" t="s">
        <v>248</v>
      </c>
      <c r="D25" s="3" t="s">
        <v>248</v>
      </c>
      <c r="E25" s="3" t="s">
        <v>248</v>
      </c>
      <c r="F25" s="3" t="s">
        <v>248</v>
      </c>
    </row>
    <row r="26" spans="1:6">
      <c r="A26" s="2" t="s">
        <v>24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</row>
    <row r="27" spans="1:6">
      <c r="A27" s="2" t="s">
        <v>25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</row>
    <row r="28" spans="1:6">
      <c r="A28" s="2" t="s">
        <v>26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</row>
    <row r="29" spans="1:6">
      <c r="A29" s="2" t="s">
        <v>27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4">
    <tabColor theme="7" tint="0.39997558519241921"/>
  </sheetPr>
  <dimension ref="A1:E22"/>
  <sheetViews>
    <sheetView workbookViewId="0">
      <selection activeCell="G35" sqref="G35"/>
    </sheetView>
  </sheetViews>
  <sheetFormatPr defaultRowHeight="15"/>
  <cols>
    <col min="1" max="1" width="20" customWidth="1"/>
    <col min="2" max="5" width="27.140625" customWidth="1"/>
  </cols>
  <sheetData>
    <row r="1" spans="1:5">
      <c r="A1" t="s">
        <v>94</v>
      </c>
    </row>
    <row r="3" spans="1:5">
      <c r="A3" s="2" t="s">
        <v>28</v>
      </c>
      <c r="B3" s="4">
        <v>1</v>
      </c>
      <c r="C3" s="4">
        <v>2</v>
      </c>
      <c r="D3" s="4">
        <v>3</v>
      </c>
      <c r="E3" s="4">
        <v>4</v>
      </c>
    </row>
    <row r="4" spans="1:5">
      <c r="A4" s="2" t="s">
        <v>29</v>
      </c>
      <c r="B4" s="3" t="s">
        <v>47</v>
      </c>
      <c r="C4" s="3" t="s">
        <v>47</v>
      </c>
      <c r="D4" s="3" t="s">
        <v>61</v>
      </c>
      <c r="E4" s="3" t="s">
        <v>47</v>
      </c>
    </row>
    <row r="5" spans="1:5">
      <c r="A5" s="2" t="s">
        <v>30</v>
      </c>
      <c r="B5" s="3" t="s">
        <v>48</v>
      </c>
      <c r="C5" s="3" t="s">
        <v>48</v>
      </c>
      <c r="D5" s="3" t="s">
        <v>62</v>
      </c>
      <c r="E5" s="3" t="s">
        <v>48</v>
      </c>
    </row>
    <row r="6" spans="1:5" ht="30">
      <c r="A6" s="2" t="s">
        <v>31</v>
      </c>
      <c r="B6" s="3" t="s">
        <v>49</v>
      </c>
      <c r="C6" s="3" t="s">
        <v>49</v>
      </c>
      <c r="D6" s="3" t="s">
        <v>53</v>
      </c>
      <c r="E6" s="3" t="s">
        <v>49</v>
      </c>
    </row>
    <row r="7" spans="1:5">
      <c r="A7" s="2" t="s">
        <v>32</v>
      </c>
      <c r="B7" s="3" t="s">
        <v>50</v>
      </c>
      <c r="C7" s="3" t="s">
        <v>50</v>
      </c>
      <c r="D7" s="3" t="s">
        <v>63</v>
      </c>
      <c r="E7" s="3" t="s">
        <v>50</v>
      </c>
    </row>
    <row r="8" spans="1:5">
      <c r="A8" s="2" t="s">
        <v>33</v>
      </c>
      <c r="B8" s="3" t="s">
        <v>51</v>
      </c>
      <c r="C8" s="3" t="s">
        <v>51</v>
      </c>
      <c r="D8" s="3" t="s">
        <v>64</v>
      </c>
      <c r="E8" s="3" t="s">
        <v>51</v>
      </c>
    </row>
    <row r="9" spans="1:5">
      <c r="A9" s="2" t="s">
        <v>34</v>
      </c>
      <c r="B9" s="4">
        <v>1</v>
      </c>
      <c r="C9" s="4">
        <v>1</v>
      </c>
      <c r="D9" s="4">
        <v>1</v>
      </c>
      <c r="E9" s="4">
        <v>1</v>
      </c>
    </row>
    <row r="10" spans="1:5">
      <c r="A10" s="2" t="s">
        <v>5</v>
      </c>
      <c r="B10" s="4">
        <v>1</v>
      </c>
      <c r="C10" s="4">
        <v>6</v>
      </c>
      <c r="D10" s="4">
        <v>2</v>
      </c>
      <c r="E10" s="4">
        <v>0</v>
      </c>
    </row>
    <row r="11" spans="1:5">
      <c r="A11" s="2" t="s">
        <v>35</v>
      </c>
      <c r="B11" s="3" t="s">
        <v>52</v>
      </c>
      <c r="C11" s="3" t="s">
        <v>52</v>
      </c>
      <c r="D11" s="3" t="s">
        <v>65</v>
      </c>
      <c r="E11" s="3" t="s">
        <v>52</v>
      </c>
    </row>
    <row r="12" spans="1:5">
      <c r="A12" s="2" t="s">
        <v>36</v>
      </c>
      <c r="B12" s="3" t="s">
        <v>53</v>
      </c>
      <c r="C12" s="3" t="s">
        <v>53</v>
      </c>
      <c r="D12" s="3" t="s">
        <v>53</v>
      </c>
      <c r="E12" s="3" t="s">
        <v>53</v>
      </c>
    </row>
    <row r="13" spans="1:5">
      <c r="A13" s="2" t="s">
        <v>37</v>
      </c>
      <c r="B13" s="3" t="s">
        <v>47</v>
      </c>
      <c r="C13" s="3" t="s">
        <v>47</v>
      </c>
      <c r="D13" s="3" t="s">
        <v>61</v>
      </c>
      <c r="E13" s="3" t="s">
        <v>47</v>
      </c>
    </row>
    <row r="14" spans="1:5">
      <c r="A14" s="2" t="s">
        <v>38</v>
      </c>
      <c r="B14" s="3" t="s">
        <v>54</v>
      </c>
      <c r="C14" s="3" t="s">
        <v>54</v>
      </c>
      <c r="D14" s="3" t="s">
        <v>66</v>
      </c>
      <c r="E14" s="3" t="s">
        <v>54</v>
      </c>
    </row>
    <row r="15" spans="1:5">
      <c r="A15" s="2" t="s">
        <v>39</v>
      </c>
      <c r="B15" s="3" t="s">
        <v>53</v>
      </c>
      <c r="C15" s="3" t="s">
        <v>53</v>
      </c>
      <c r="D15" s="3" t="s">
        <v>53</v>
      </c>
      <c r="E15" s="3" t="s">
        <v>53</v>
      </c>
    </row>
    <row r="16" spans="1:5">
      <c r="A16" s="2" t="s">
        <v>40</v>
      </c>
      <c r="B16" s="3" t="s">
        <v>55</v>
      </c>
      <c r="C16" s="3" t="s">
        <v>58</v>
      </c>
      <c r="D16" s="3" t="s">
        <v>67</v>
      </c>
      <c r="E16" s="3" t="s">
        <v>70</v>
      </c>
    </row>
    <row r="17" spans="1:5">
      <c r="A17" s="2" t="s">
        <v>41</v>
      </c>
      <c r="B17" s="3" t="s">
        <v>56</v>
      </c>
      <c r="C17" s="3" t="s">
        <v>59</v>
      </c>
      <c r="D17" s="3" t="s">
        <v>68</v>
      </c>
      <c r="E17" s="3" t="s">
        <v>71</v>
      </c>
    </row>
    <row r="18" spans="1:5">
      <c r="A18" s="2" t="s">
        <v>42</v>
      </c>
      <c r="B18" s="3" t="s">
        <v>53</v>
      </c>
      <c r="C18" s="3" t="s">
        <v>53</v>
      </c>
      <c r="D18" s="3" t="s">
        <v>53</v>
      </c>
      <c r="E18" s="3" t="s">
        <v>53</v>
      </c>
    </row>
    <row r="19" spans="1:5">
      <c r="A19" s="2" t="s">
        <v>43</v>
      </c>
      <c r="B19" s="3" t="s">
        <v>53</v>
      </c>
      <c r="C19" s="3" t="s">
        <v>53</v>
      </c>
      <c r="D19" s="3" t="s">
        <v>53</v>
      </c>
      <c r="E19" s="3" t="s">
        <v>53</v>
      </c>
    </row>
    <row r="20" spans="1:5">
      <c r="A20" s="2" t="s">
        <v>44</v>
      </c>
      <c r="B20" s="3" t="s">
        <v>53</v>
      </c>
      <c r="C20" s="3" t="s">
        <v>53</v>
      </c>
      <c r="D20" s="3" t="s">
        <v>53</v>
      </c>
      <c r="E20" s="3" t="s">
        <v>53</v>
      </c>
    </row>
    <row r="21" spans="1:5">
      <c r="A21" s="2" t="s">
        <v>45</v>
      </c>
      <c r="B21" s="3" t="s">
        <v>57</v>
      </c>
      <c r="C21" s="3" t="s">
        <v>60</v>
      </c>
      <c r="D21" s="3" t="s">
        <v>69</v>
      </c>
      <c r="E21" s="3" t="s">
        <v>72</v>
      </c>
    </row>
    <row r="22" spans="1:5">
      <c r="A22" s="2" t="s">
        <v>46</v>
      </c>
      <c r="B22" s="3" t="s">
        <v>57</v>
      </c>
      <c r="C22" s="3" t="s">
        <v>60</v>
      </c>
      <c r="D22" s="3" t="s">
        <v>69</v>
      </c>
      <c r="E22" s="3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5">
    <tabColor theme="7" tint="0.39997558519241921"/>
  </sheetPr>
  <dimension ref="A1:F29"/>
  <sheetViews>
    <sheetView workbookViewId="0">
      <selection activeCell="G35" sqref="G35"/>
    </sheetView>
  </sheetViews>
  <sheetFormatPr defaultRowHeight="15"/>
  <cols>
    <col min="1" max="1" width="16.42578125" bestFit="1" customWidth="1"/>
    <col min="2" max="6" width="14.5703125" customWidth="1"/>
  </cols>
  <sheetData>
    <row r="1" spans="1:6">
      <c r="A1" t="s">
        <v>119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97</v>
      </c>
      <c r="B5" s="3" t="s">
        <v>257</v>
      </c>
      <c r="C5" s="3" t="s">
        <v>257</v>
      </c>
      <c r="D5" s="3" t="s">
        <v>257</v>
      </c>
      <c r="E5" s="3" t="s">
        <v>257</v>
      </c>
      <c r="F5" s="3" t="s">
        <v>257</v>
      </c>
    </row>
    <row r="6" spans="1:6">
      <c r="A6" s="2" t="s">
        <v>98</v>
      </c>
      <c r="B6" s="3" t="s">
        <v>53</v>
      </c>
      <c r="C6" s="3" t="s">
        <v>53</v>
      </c>
      <c r="D6" s="3" t="s">
        <v>53</v>
      </c>
      <c r="E6" s="3" t="s">
        <v>53</v>
      </c>
      <c r="F6" s="3" t="s">
        <v>53</v>
      </c>
    </row>
    <row r="7" spans="1:6">
      <c r="A7" s="2" t="s">
        <v>99</v>
      </c>
      <c r="B7" s="3" t="s">
        <v>53</v>
      </c>
      <c r="C7" s="3" t="s">
        <v>53</v>
      </c>
      <c r="D7" s="3" t="s">
        <v>53</v>
      </c>
      <c r="E7" s="3" t="s">
        <v>53</v>
      </c>
      <c r="F7" s="3" t="s">
        <v>53</v>
      </c>
    </row>
    <row r="8" spans="1:6">
      <c r="A8" s="2" t="s">
        <v>100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6</v>
      </c>
      <c r="B9" s="4">
        <v>35</v>
      </c>
      <c r="C9" s="4">
        <v>50</v>
      </c>
      <c r="D9" s="4">
        <v>35</v>
      </c>
      <c r="E9" s="4">
        <v>40</v>
      </c>
      <c r="F9" s="4">
        <v>210</v>
      </c>
    </row>
    <row r="10" spans="1:6">
      <c r="A10" s="2" t="s">
        <v>27</v>
      </c>
      <c r="B10" s="4">
        <v>11</v>
      </c>
      <c r="C10" s="4">
        <v>15</v>
      </c>
      <c r="D10" s="4">
        <v>11</v>
      </c>
      <c r="E10" s="4">
        <v>135</v>
      </c>
      <c r="F10" s="4">
        <v>1</v>
      </c>
    </row>
    <row r="11" spans="1:6">
      <c r="A11" s="2" t="s">
        <v>26</v>
      </c>
      <c r="B11" s="4">
        <v>90</v>
      </c>
      <c r="C11" s="4">
        <v>130</v>
      </c>
      <c r="D11" s="4">
        <v>55</v>
      </c>
      <c r="E11" s="4">
        <v>70</v>
      </c>
      <c r="F11" s="4">
        <v>260</v>
      </c>
    </row>
    <row r="12" spans="1:6">
      <c r="A12" s="2" t="s">
        <v>101</v>
      </c>
      <c r="B12" s="3" t="s">
        <v>258</v>
      </c>
      <c r="C12" s="3" t="s">
        <v>259</v>
      </c>
      <c r="D12" s="3" t="s">
        <v>270</v>
      </c>
      <c r="E12" s="3" t="s">
        <v>271</v>
      </c>
      <c r="F12" s="3" t="s">
        <v>272</v>
      </c>
    </row>
    <row r="13" spans="1:6">
      <c r="A13" s="2" t="s">
        <v>102</v>
      </c>
      <c r="B13" s="4">
        <v>0</v>
      </c>
      <c r="C13" s="4">
        <v>9</v>
      </c>
      <c r="D13" s="4">
        <v>0</v>
      </c>
      <c r="E13" s="4">
        <v>0</v>
      </c>
      <c r="F13" s="4">
        <v>0</v>
      </c>
    </row>
    <row r="14" spans="1:6">
      <c r="A14" s="2" t="s">
        <v>103</v>
      </c>
      <c r="B14" s="4">
        <v>0</v>
      </c>
      <c r="C14" s="4">
        <v>9</v>
      </c>
      <c r="D14" s="4">
        <v>0</v>
      </c>
      <c r="E14" s="4">
        <v>0</v>
      </c>
      <c r="F14" s="4">
        <v>0</v>
      </c>
    </row>
    <row r="15" spans="1:6">
      <c r="A15" s="2" t="s">
        <v>104</v>
      </c>
      <c r="B15" s="4">
        <v>89.5</v>
      </c>
      <c r="C15" s="4">
        <v>161.5</v>
      </c>
      <c r="D15" s="4">
        <v>254</v>
      </c>
      <c r="E15" s="4">
        <v>405</v>
      </c>
      <c r="F15" s="4">
        <v>695</v>
      </c>
    </row>
    <row r="16" spans="1:6">
      <c r="A16" s="2" t="s">
        <v>105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</row>
    <row r="17" spans="1:6">
      <c r="A17" s="2" t="s">
        <v>106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</row>
    <row r="18" spans="1:6">
      <c r="A18" s="2" t="s">
        <v>107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</row>
    <row r="19" spans="1:6">
      <c r="A19" s="2" t="s">
        <v>108</v>
      </c>
      <c r="B19" s="4">
        <v>34650</v>
      </c>
      <c r="C19" s="4">
        <v>97500</v>
      </c>
      <c r="D19" s="4">
        <v>21175</v>
      </c>
      <c r="E19" s="4">
        <v>378000</v>
      </c>
      <c r="F19" s="4">
        <v>54600</v>
      </c>
    </row>
    <row r="20" spans="1:6">
      <c r="A20" s="2" t="s">
        <v>109</v>
      </c>
      <c r="B20" s="3" t="s">
        <v>260</v>
      </c>
      <c r="C20" s="3" t="s">
        <v>260</v>
      </c>
      <c r="D20" s="3" t="s">
        <v>273</v>
      </c>
      <c r="E20" s="3" t="s">
        <v>273</v>
      </c>
      <c r="F20" s="3" t="s">
        <v>274</v>
      </c>
    </row>
    <row r="21" spans="1:6">
      <c r="A21" s="2" t="s">
        <v>110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</row>
    <row r="22" spans="1:6">
      <c r="A22" s="2" t="s">
        <v>111</v>
      </c>
      <c r="B22" s="3" t="s">
        <v>241</v>
      </c>
      <c r="C22" s="3" t="s">
        <v>241</v>
      </c>
      <c r="D22" s="3" t="s">
        <v>241</v>
      </c>
      <c r="E22" s="3" t="s">
        <v>241</v>
      </c>
      <c r="F22" s="3" t="s">
        <v>53</v>
      </c>
    </row>
    <row r="23" spans="1:6">
      <c r="A23" s="2" t="s">
        <v>112</v>
      </c>
      <c r="B23" s="3" t="s">
        <v>241</v>
      </c>
      <c r="C23" s="3" t="s">
        <v>241</v>
      </c>
      <c r="D23" s="3" t="s">
        <v>241</v>
      </c>
      <c r="E23" s="3" t="s">
        <v>241</v>
      </c>
      <c r="F23" s="3" t="s">
        <v>53</v>
      </c>
    </row>
    <row r="24" spans="1:6">
      <c r="A24" s="2" t="s">
        <v>113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</row>
    <row r="25" spans="1:6">
      <c r="A25" s="2" t="s">
        <v>114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</row>
    <row r="26" spans="1:6">
      <c r="A26" s="2" t="s">
        <v>115</v>
      </c>
      <c r="B26" s="4">
        <v>10000</v>
      </c>
      <c r="C26" s="4">
        <v>10000</v>
      </c>
      <c r="D26" s="4">
        <v>10000</v>
      </c>
      <c r="E26" s="4">
        <v>1000</v>
      </c>
      <c r="F26" s="4">
        <v>12000</v>
      </c>
    </row>
    <row r="27" spans="1:6">
      <c r="A27" s="2" t="s">
        <v>116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</row>
    <row r="28" spans="1:6">
      <c r="A28" s="2" t="s">
        <v>117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</row>
    <row r="29" spans="1:6">
      <c r="A29" s="2" t="s">
        <v>118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6">
    <tabColor theme="7" tint="0.39997558519241921"/>
  </sheetPr>
  <dimension ref="A1:F33"/>
  <sheetViews>
    <sheetView topLeftCell="A7" workbookViewId="0">
      <selection activeCell="G35" sqref="G35"/>
    </sheetView>
  </sheetViews>
  <sheetFormatPr defaultRowHeight="15"/>
  <cols>
    <col min="1" max="1" width="16.28515625" bestFit="1" customWidth="1"/>
    <col min="2" max="6" width="14" customWidth="1"/>
  </cols>
  <sheetData>
    <row r="1" spans="1:6">
      <c r="A1" t="s">
        <v>148</v>
      </c>
    </row>
    <row r="3" spans="1:6">
      <c r="A3" s="2" t="s">
        <v>95</v>
      </c>
      <c r="B3" s="3" t="s">
        <v>254</v>
      </c>
      <c r="C3" s="3" t="s">
        <v>255</v>
      </c>
      <c r="D3" s="3" t="s">
        <v>262</v>
      </c>
      <c r="E3" s="3" t="s">
        <v>263</v>
      </c>
      <c r="F3" s="3" t="s">
        <v>264</v>
      </c>
    </row>
    <row r="4" spans="1:6">
      <c r="A4" s="2" t="s">
        <v>96</v>
      </c>
      <c r="B4" s="3" t="s">
        <v>256</v>
      </c>
      <c r="C4" s="3" t="s">
        <v>256</v>
      </c>
      <c r="D4" s="3" t="s">
        <v>256</v>
      </c>
      <c r="E4" s="3" t="s">
        <v>256</v>
      </c>
      <c r="F4" s="3" t="s">
        <v>256</v>
      </c>
    </row>
    <row r="5" spans="1:6">
      <c r="A5" s="2" t="s">
        <v>97</v>
      </c>
      <c r="B5" s="3" t="s">
        <v>257</v>
      </c>
      <c r="C5" s="3" t="s">
        <v>257</v>
      </c>
      <c r="D5" s="3" t="s">
        <v>257</v>
      </c>
      <c r="E5" s="3" t="s">
        <v>257</v>
      </c>
      <c r="F5" s="3" t="s">
        <v>257</v>
      </c>
    </row>
    <row r="6" spans="1:6">
      <c r="A6" s="2" t="s">
        <v>120</v>
      </c>
      <c r="B6" s="4">
        <v>0</v>
      </c>
      <c r="C6" s="4">
        <v>0</v>
      </c>
      <c r="D6" s="4">
        <v>0</v>
      </c>
      <c r="E6" s="4">
        <v>0</v>
      </c>
      <c r="F6" s="4">
        <v>0</v>
      </c>
    </row>
    <row r="7" spans="1:6">
      <c r="A7" s="2" t="s">
        <v>121</v>
      </c>
      <c r="B7" s="4">
        <v>0</v>
      </c>
      <c r="C7" s="4">
        <v>0</v>
      </c>
      <c r="D7" s="4">
        <v>0</v>
      </c>
      <c r="E7" s="4">
        <v>0</v>
      </c>
      <c r="F7" s="4">
        <v>0</v>
      </c>
    </row>
    <row r="8" spans="1:6">
      <c r="A8" s="2" t="s">
        <v>122</v>
      </c>
      <c r="B8" s="4">
        <v>0</v>
      </c>
      <c r="C8" s="4">
        <v>0</v>
      </c>
      <c r="D8" s="4">
        <v>0</v>
      </c>
      <c r="E8" s="4">
        <v>0</v>
      </c>
      <c r="F8" s="4">
        <v>0</v>
      </c>
    </row>
    <row r="9" spans="1:6">
      <c r="A9" s="2" t="s">
        <v>123</v>
      </c>
      <c r="B9" s="4">
        <v>0</v>
      </c>
      <c r="C9" s="4">
        <v>0</v>
      </c>
      <c r="D9" s="4">
        <v>0</v>
      </c>
      <c r="E9" s="4">
        <v>0</v>
      </c>
      <c r="F9" s="4">
        <v>0</v>
      </c>
    </row>
    <row r="10" spans="1:6">
      <c r="A10" s="2" t="s">
        <v>124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</row>
    <row r="11" spans="1:6">
      <c r="A11" s="2" t="s">
        <v>125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</row>
    <row r="12" spans="1:6">
      <c r="A12" s="2" t="s">
        <v>126</v>
      </c>
      <c r="B12" s="4">
        <v>100</v>
      </c>
      <c r="C12" s="4">
        <v>100</v>
      </c>
      <c r="D12" s="4">
        <v>100</v>
      </c>
      <c r="E12" s="4">
        <v>100</v>
      </c>
      <c r="F12" s="4">
        <v>100</v>
      </c>
    </row>
    <row r="13" spans="1:6">
      <c r="A13" s="2" t="s">
        <v>127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</row>
    <row r="14" spans="1:6">
      <c r="A14" s="2" t="s">
        <v>128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</row>
    <row r="15" spans="1:6">
      <c r="A15" s="2" t="s">
        <v>129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</row>
    <row r="16" spans="1:6">
      <c r="A16" s="2" t="s">
        <v>130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</row>
    <row r="17" spans="1:6">
      <c r="A17" s="2" t="s">
        <v>131</v>
      </c>
      <c r="B17" s="4">
        <v>10000</v>
      </c>
      <c r="C17" s="4">
        <v>10000</v>
      </c>
      <c r="D17" s="4">
        <v>10000</v>
      </c>
      <c r="E17" s="4">
        <v>25000</v>
      </c>
      <c r="F17" s="4">
        <v>12000</v>
      </c>
    </row>
    <row r="18" spans="1:6">
      <c r="A18" s="2" t="s">
        <v>132</v>
      </c>
      <c r="B18" s="4">
        <v>15</v>
      </c>
      <c r="C18" s="4">
        <v>8</v>
      </c>
      <c r="D18" s="4">
        <v>4</v>
      </c>
      <c r="E18" s="4">
        <v>1</v>
      </c>
      <c r="F18" s="4">
        <v>1</v>
      </c>
    </row>
    <row r="19" spans="1:6">
      <c r="A19" s="2" t="s">
        <v>133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</row>
    <row r="20" spans="1:6">
      <c r="A20" s="2" t="s">
        <v>134</v>
      </c>
      <c r="B20" s="3" t="s">
        <v>261</v>
      </c>
      <c r="C20" s="3" t="s">
        <v>261</v>
      </c>
      <c r="D20" s="3" t="s">
        <v>261</v>
      </c>
      <c r="E20" s="3" t="s">
        <v>261</v>
      </c>
      <c r="F20" s="3" t="s">
        <v>261</v>
      </c>
    </row>
    <row r="21" spans="1:6">
      <c r="A21" s="2" t="s">
        <v>135</v>
      </c>
      <c r="B21" s="3" t="s">
        <v>53</v>
      </c>
      <c r="C21" s="3" t="s">
        <v>53</v>
      </c>
      <c r="D21" s="3" t="s">
        <v>53</v>
      </c>
      <c r="E21" s="3" t="s">
        <v>53</v>
      </c>
      <c r="F21" s="3" t="s">
        <v>53</v>
      </c>
    </row>
    <row r="22" spans="1:6">
      <c r="A22" s="2" t="s">
        <v>136</v>
      </c>
      <c r="B22" s="3" t="s">
        <v>53</v>
      </c>
      <c r="C22" s="3" t="s">
        <v>53</v>
      </c>
      <c r="D22" s="3" t="s">
        <v>53</v>
      </c>
      <c r="E22" s="3" t="s">
        <v>53</v>
      </c>
      <c r="F22" s="3" t="s">
        <v>53</v>
      </c>
    </row>
    <row r="23" spans="1:6">
      <c r="A23" s="2" t="s">
        <v>137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138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</row>
    <row r="25" spans="1:6">
      <c r="A25" s="2" t="s">
        <v>139</v>
      </c>
      <c r="B25" s="3" t="s">
        <v>53</v>
      </c>
      <c r="C25" s="3" t="s">
        <v>53</v>
      </c>
      <c r="D25" s="3" t="s">
        <v>53</v>
      </c>
      <c r="E25" s="3" t="s">
        <v>53</v>
      </c>
      <c r="F25" s="3" t="s">
        <v>53</v>
      </c>
    </row>
    <row r="26" spans="1:6">
      <c r="A26" s="2" t="s">
        <v>140</v>
      </c>
      <c r="B26" s="3" t="s">
        <v>53</v>
      </c>
      <c r="C26" s="3" t="s">
        <v>53</v>
      </c>
      <c r="D26" s="3" t="s">
        <v>53</v>
      </c>
      <c r="E26" s="3" t="s">
        <v>53</v>
      </c>
      <c r="F26" s="3" t="s">
        <v>53</v>
      </c>
    </row>
    <row r="27" spans="1:6">
      <c r="A27" s="2" t="s">
        <v>141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</row>
    <row r="28" spans="1:6">
      <c r="A28" s="2" t="s">
        <v>142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</row>
    <row r="29" spans="1:6">
      <c r="A29" s="2" t="s">
        <v>143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</row>
    <row r="30" spans="1:6">
      <c r="A30" s="2" t="s">
        <v>144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</row>
    <row r="31" spans="1:6">
      <c r="A31" s="2" t="s">
        <v>145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</row>
    <row r="32" spans="1:6">
      <c r="A32" s="2" t="s">
        <v>146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</row>
    <row r="33" spans="1:6">
      <c r="A33" s="2" t="s">
        <v>147</v>
      </c>
      <c r="B33" s="4">
        <v>3</v>
      </c>
      <c r="C33" s="4">
        <v>0</v>
      </c>
      <c r="D33" s="4">
        <v>0</v>
      </c>
      <c r="E33" s="4">
        <v>0</v>
      </c>
      <c r="F33" s="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8">
    <tabColor theme="7" tint="0.39997558519241921"/>
  </sheetPr>
  <dimension ref="A1:F6"/>
  <sheetViews>
    <sheetView workbookViewId="0">
      <selection activeCell="G35" sqref="G35"/>
    </sheetView>
  </sheetViews>
  <sheetFormatPr defaultRowHeight="15"/>
  <cols>
    <col min="1" max="1" width="17.7109375" bestFit="1" customWidth="1"/>
    <col min="2" max="6" width="20.5703125" customWidth="1"/>
  </cols>
  <sheetData>
    <row r="1" spans="1:6">
      <c r="A1" t="s">
        <v>157</v>
      </c>
    </row>
    <row r="3" spans="1:6">
      <c r="A3" s="2" t="s">
        <v>9</v>
      </c>
      <c r="B3" s="3" t="s">
        <v>275</v>
      </c>
      <c r="C3" s="3" t="s">
        <v>276</v>
      </c>
      <c r="D3" s="3" t="s">
        <v>277</v>
      </c>
      <c r="E3" s="3" t="s">
        <v>278</v>
      </c>
      <c r="F3" s="3" t="s">
        <v>279</v>
      </c>
    </row>
    <row r="4" spans="1:6">
      <c r="A4" s="2" t="s">
        <v>155</v>
      </c>
      <c r="B4" s="4">
        <v>0</v>
      </c>
      <c r="C4" s="4">
        <v>0</v>
      </c>
      <c r="D4" s="4">
        <v>0</v>
      </c>
      <c r="E4" s="4">
        <v>0</v>
      </c>
      <c r="F4" s="4">
        <v>0</v>
      </c>
    </row>
    <row r="5" spans="1:6">
      <c r="A5" s="2" t="s">
        <v>156</v>
      </c>
      <c r="B5" s="3" t="s">
        <v>280</v>
      </c>
      <c r="C5" s="3" t="s">
        <v>281</v>
      </c>
      <c r="D5" s="3" t="s">
        <v>282</v>
      </c>
      <c r="E5" s="3" t="s">
        <v>283</v>
      </c>
      <c r="F5" s="3" t="s">
        <v>77</v>
      </c>
    </row>
    <row r="6" spans="1:6">
      <c r="A6" s="2" t="s">
        <v>34</v>
      </c>
      <c r="B6" s="4">
        <v>13</v>
      </c>
      <c r="C6" s="4">
        <v>2</v>
      </c>
      <c r="D6" s="4">
        <v>6</v>
      </c>
      <c r="E6" s="4">
        <v>6</v>
      </c>
      <c r="F6" s="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9">
    <tabColor theme="7" tint="0.39997558519241921"/>
  </sheetPr>
  <dimension ref="A1:G21"/>
  <sheetViews>
    <sheetView workbookViewId="0">
      <selection activeCell="G35" sqref="G35"/>
    </sheetView>
  </sheetViews>
  <sheetFormatPr defaultRowHeight="15"/>
  <cols>
    <col min="1" max="1" width="13.42578125" style="1" bestFit="1" customWidth="1"/>
    <col min="2" max="7" width="19.42578125" customWidth="1"/>
  </cols>
  <sheetData>
    <row r="1" spans="1:7">
      <c r="A1" s="1" t="s">
        <v>170</v>
      </c>
    </row>
    <row r="3" spans="1:7">
      <c r="A3" s="2" t="s">
        <v>1</v>
      </c>
      <c r="B3" s="3" t="s">
        <v>284</v>
      </c>
      <c r="C3" s="3" t="s">
        <v>285</v>
      </c>
      <c r="D3" s="3" t="s">
        <v>286</v>
      </c>
      <c r="E3" s="3" t="s">
        <v>287</v>
      </c>
      <c r="F3" s="3" t="s">
        <v>288</v>
      </c>
      <c r="G3" s="3" t="s">
        <v>289</v>
      </c>
    </row>
    <row r="4" spans="1:7">
      <c r="A4" s="2" t="s">
        <v>158</v>
      </c>
      <c r="B4" s="3" t="s">
        <v>290</v>
      </c>
      <c r="C4" s="3" t="s">
        <v>290</v>
      </c>
      <c r="D4" s="3" t="s">
        <v>290</v>
      </c>
      <c r="E4" s="3" t="s">
        <v>290</v>
      </c>
      <c r="F4" s="3" t="s">
        <v>290</v>
      </c>
      <c r="G4" s="3" t="s">
        <v>290</v>
      </c>
    </row>
    <row r="5" spans="1:7">
      <c r="A5" s="2" t="s">
        <v>3</v>
      </c>
      <c r="B5" s="3" t="s">
        <v>290</v>
      </c>
      <c r="C5" s="3" t="s">
        <v>291</v>
      </c>
      <c r="D5" s="3" t="s">
        <v>292</v>
      </c>
      <c r="E5" s="3" t="s">
        <v>293</v>
      </c>
      <c r="F5" s="3" t="s">
        <v>294</v>
      </c>
      <c r="G5" s="3" t="s">
        <v>295</v>
      </c>
    </row>
    <row r="6" spans="1:7">
      <c r="A6" s="2" t="s">
        <v>159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</row>
    <row r="7" spans="1:7">
      <c r="A7" s="2" t="s">
        <v>160</v>
      </c>
      <c r="B7" s="4">
        <v>0</v>
      </c>
      <c r="C7" s="4">
        <v>5</v>
      </c>
      <c r="D7" s="4">
        <v>5</v>
      </c>
      <c r="E7" s="4">
        <v>5</v>
      </c>
      <c r="F7" s="4">
        <v>5</v>
      </c>
      <c r="G7" s="4">
        <v>5</v>
      </c>
    </row>
    <row r="8" spans="1:7">
      <c r="A8" s="2" t="s">
        <v>161</v>
      </c>
      <c r="B8" s="4">
        <v>0</v>
      </c>
      <c r="C8" s="4">
        <v>0</v>
      </c>
      <c r="D8" s="4">
        <v>0</v>
      </c>
      <c r="E8" s="4">
        <v>0</v>
      </c>
      <c r="F8" s="4">
        <v>5</v>
      </c>
      <c r="G8" s="4">
        <v>5</v>
      </c>
    </row>
    <row r="9" spans="1:7">
      <c r="A9" s="2" t="s">
        <v>6</v>
      </c>
      <c r="B9" s="4">
        <v>0</v>
      </c>
      <c r="C9" s="4">
        <v>0</v>
      </c>
      <c r="D9" s="4">
        <v>140</v>
      </c>
      <c r="E9" s="4">
        <v>140</v>
      </c>
      <c r="F9" s="4">
        <v>140</v>
      </c>
      <c r="G9" s="4">
        <v>140</v>
      </c>
    </row>
    <row r="10" spans="1:7">
      <c r="A10" s="2" t="s">
        <v>5</v>
      </c>
      <c r="B10" s="4">
        <v>0</v>
      </c>
      <c r="C10" s="4">
        <v>0</v>
      </c>
      <c r="D10" s="4">
        <v>25000</v>
      </c>
      <c r="E10" s="4">
        <v>25000</v>
      </c>
      <c r="F10" s="4">
        <v>25000</v>
      </c>
      <c r="G10" s="4">
        <v>25000</v>
      </c>
    </row>
    <row r="11" spans="1:7">
      <c r="A11" s="2" t="s">
        <v>162</v>
      </c>
      <c r="B11" s="3" t="s">
        <v>85</v>
      </c>
      <c r="C11" s="3" t="s">
        <v>53</v>
      </c>
      <c r="D11" s="3" t="s">
        <v>53</v>
      </c>
      <c r="E11" s="3" t="s">
        <v>53</v>
      </c>
      <c r="F11" s="3" t="s">
        <v>53</v>
      </c>
      <c r="G11" s="3" t="s">
        <v>53</v>
      </c>
    </row>
    <row r="12" spans="1:7">
      <c r="A12" s="2" t="s">
        <v>163</v>
      </c>
      <c r="B12" s="3" t="s">
        <v>296</v>
      </c>
      <c r="C12" s="3" t="s">
        <v>53</v>
      </c>
      <c r="D12" s="3" t="s">
        <v>92</v>
      </c>
      <c r="E12" s="3" t="s">
        <v>297</v>
      </c>
      <c r="F12" s="3" t="s">
        <v>92</v>
      </c>
      <c r="G12" s="3" t="s">
        <v>297</v>
      </c>
    </row>
    <row r="13" spans="1:7">
      <c r="A13" s="2" t="s">
        <v>164</v>
      </c>
      <c r="B13" s="3" t="s">
        <v>85</v>
      </c>
      <c r="C13" s="3" t="s">
        <v>241</v>
      </c>
      <c r="D13" s="3" t="s">
        <v>241</v>
      </c>
      <c r="E13" s="3" t="s">
        <v>241</v>
      </c>
      <c r="F13" s="3" t="s">
        <v>241</v>
      </c>
      <c r="G13" s="3" t="s">
        <v>241</v>
      </c>
    </row>
    <row r="14" spans="1:7">
      <c r="A14" s="2" t="s">
        <v>12</v>
      </c>
      <c r="B14" s="3" t="s">
        <v>85</v>
      </c>
      <c r="C14" s="3" t="s">
        <v>53</v>
      </c>
      <c r="D14" s="3" t="s">
        <v>53</v>
      </c>
      <c r="E14" s="3" t="s">
        <v>53</v>
      </c>
      <c r="F14" s="3" t="s">
        <v>53</v>
      </c>
      <c r="G14" s="3" t="s">
        <v>53</v>
      </c>
    </row>
    <row r="15" spans="1:7">
      <c r="A15" s="2" t="s">
        <v>165</v>
      </c>
      <c r="B15" s="3" t="s">
        <v>85</v>
      </c>
      <c r="C15" s="3" t="s">
        <v>53</v>
      </c>
      <c r="D15" s="3" t="s">
        <v>298</v>
      </c>
      <c r="E15" s="3" t="s">
        <v>298</v>
      </c>
      <c r="F15" s="3" t="s">
        <v>298</v>
      </c>
      <c r="G15" s="3" t="s">
        <v>298</v>
      </c>
    </row>
    <row r="16" spans="1:7">
      <c r="A16" s="2" t="s">
        <v>166</v>
      </c>
      <c r="B16" s="3" t="s">
        <v>299</v>
      </c>
      <c r="C16" s="3" t="s">
        <v>53</v>
      </c>
      <c r="D16" s="3" t="s">
        <v>53</v>
      </c>
      <c r="E16" s="3" t="s">
        <v>53</v>
      </c>
      <c r="F16" s="3" t="s">
        <v>53</v>
      </c>
      <c r="G16" s="3" t="s">
        <v>53</v>
      </c>
    </row>
    <row r="17" spans="1:7">
      <c r="A17" s="2" t="s">
        <v>21</v>
      </c>
      <c r="B17" s="3" t="s">
        <v>85</v>
      </c>
      <c r="C17" s="3" t="s">
        <v>53</v>
      </c>
      <c r="D17" s="3" t="s">
        <v>53</v>
      </c>
      <c r="E17" s="3" t="s">
        <v>53</v>
      </c>
      <c r="F17" s="3" t="s">
        <v>53</v>
      </c>
      <c r="G17" s="3" t="s">
        <v>53</v>
      </c>
    </row>
    <row r="18" spans="1:7">
      <c r="A18" s="2" t="s">
        <v>26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19" spans="1:7">
      <c r="A19" s="2" t="s">
        <v>167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</row>
    <row r="20" spans="1:7">
      <c r="A20" s="2" t="s">
        <v>168</v>
      </c>
      <c r="B20" s="3" t="s">
        <v>85</v>
      </c>
      <c r="C20" s="3" t="s">
        <v>85</v>
      </c>
      <c r="D20" s="3" t="s">
        <v>85</v>
      </c>
      <c r="E20" s="3" t="s">
        <v>85</v>
      </c>
      <c r="F20" s="3" t="s">
        <v>85</v>
      </c>
      <c r="G20" s="3" t="s">
        <v>85</v>
      </c>
    </row>
    <row r="21" spans="1:7">
      <c r="A21" s="2" t="s">
        <v>169</v>
      </c>
      <c r="B21" s="3" t="s">
        <v>85</v>
      </c>
      <c r="C21" s="3" t="s">
        <v>85</v>
      </c>
      <c r="D21" s="3" t="s">
        <v>85</v>
      </c>
      <c r="E21" s="3" t="s">
        <v>85</v>
      </c>
      <c r="F21" s="3" t="s">
        <v>85</v>
      </c>
      <c r="G21" s="3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10">
    <tabColor theme="7" tint="0.39997558519241921"/>
  </sheetPr>
  <dimension ref="A1:F3"/>
  <sheetViews>
    <sheetView workbookViewId="0">
      <selection activeCell="B21" sqref="B21"/>
    </sheetView>
  </sheetViews>
  <sheetFormatPr defaultRowHeight="15"/>
  <cols>
    <col min="2" max="6" width="11.85546875" customWidth="1"/>
  </cols>
  <sheetData>
    <row r="1" spans="1:6">
      <c r="A1" t="s">
        <v>171</v>
      </c>
    </row>
    <row r="3" spans="1:6">
      <c r="A3" s="2" t="s">
        <v>172</v>
      </c>
      <c r="B3" s="3" t="s">
        <v>172</v>
      </c>
      <c r="C3" s="3" t="s">
        <v>254</v>
      </c>
      <c r="D3" s="3" t="s">
        <v>255</v>
      </c>
      <c r="E3" s="3" t="s">
        <v>262</v>
      </c>
      <c r="F3" s="3" t="s">
        <v>263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11">
    <tabColor theme="7" tint="0.39997558519241921"/>
  </sheetPr>
  <dimension ref="A1:I5"/>
  <sheetViews>
    <sheetView workbookViewId="0">
      <selection activeCell="AD35" sqref="AD35"/>
    </sheetView>
  </sheetViews>
  <sheetFormatPr defaultRowHeight="15"/>
  <cols>
    <col min="1" max="1" width="19.7109375" bestFit="1" customWidth="1"/>
    <col min="2" max="9" width="13.28515625" customWidth="1"/>
  </cols>
  <sheetData>
    <row r="1" spans="1:9">
      <c r="A1" t="s">
        <v>175</v>
      </c>
    </row>
    <row r="3" spans="1:9">
      <c r="A3" s="2" t="s">
        <v>172</v>
      </c>
      <c r="B3" s="3" t="s">
        <v>300</v>
      </c>
      <c r="C3" s="3" t="s">
        <v>301</v>
      </c>
      <c r="D3" s="3" t="s">
        <v>254</v>
      </c>
      <c r="E3" s="3" t="s">
        <v>255</v>
      </c>
      <c r="F3" s="3" t="s">
        <v>262</v>
      </c>
      <c r="G3" s="3" t="s">
        <v>263</v>
      </c>
      <c r="H3" s="3" t="s">
        <v>264</v>
      </c>
      <c r="I3" s="3" t="s">
        <v>302</v>
      </c>
    </row>
    <row r="4" spans="1:9">
      <c r="A4" s="2" t="s">
        <v>173</v>
      </c>
      <c r="B4" s="3" t="s">
        <v>303</v>
      </c>
      <c r="C4" s="3" t="s">
        <v>303</v>
      </c>
      <c r="D4" s="3" t="s">
        <v>303</v>
      </c>
      <c r="E4" s="3" t="s">
        <v>303</v>
      </c>
      <c r="F4" s="3" t="s">
        <v>303</v>
      </c>
      <c r="G4" s="3" t="s">
        <v>303</v>
      </c>
      <c r="H4" s="3" t="s">
        <v>303</v>
      </c>
      <c r="I4" s="3" t="s">
        <v>303</v>
      </c>
    </row>
    <row r="5" spans="1:9">
      <c r="A5" s="2" t="s">
        <v>174</v>
      </c>
      <c r="B5" s="3" t="s">
        <v>304</v>
      </c>
      <c r="C5" s="3" t="s">
        <v>304</v>
      </c>
      <c r="D5" s="3" t="s">
        <v>304</v>
      </c>
      <c r="E5" s="3" t="s">
        <v>304</v>
      </c>
      <c r="F5" s="3" t="s">
        <v>304</v>
      </c>
      <c r="G5" s="3" t="s">
        <v>304</v>
      </c>
      <c r="H5" s="3" t="s">
        <v>304</v>
      </c>
      <c r="I5" s="3" t="s">
        <v>304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Ark12">
    <tabColor theme="7" tint="0.39997558519241921"/>
  </sheetPr>
  <dimension ref="A1:H25"/>
  <sheetViews>
    <sheetView topLeftCell="C1" workbookViewId="0">
      <selection activeCell="F35" sqref="F35"/>
    </sheetView>
  </sheetViews>
  <sheetFormatPr defaultRowHeight="15"/>
  <cols>
    <col min="1" max="1" width="18.28515625" customWidth="1"/>
    <col min="2" max="8" width="25.42578125" customWidth="1"/>
  </cols>
  <sheetData>
    <row r="1" spans="1:8">
      <c r="A1" t="s">
        <v>197</v>
      </c>
    </row>
    <row r="3" spans="1:8">
      <c r="A3" s="2" t="s">
        <v>176</v>
      </c>
      <c r="B3" s="3" t="s">
        <v>305</v>
      </c>
      <c r="C3" s="3" t="s">
        <v>306</v>
      </c>
      <c r="D3" s="3" t="s">
        <v>307</v>
      </c>
      <c r="E3" s="3" t="s">
        <v>308</v>
      </c>
      <c r="F3" s="3" t="s">
        <v>309</v>
      </c>
      <c r="G3" s="3" t="s">
        <v>310</v>
      </c>
      <c r="H3" s="3" t="s">
        <v>311</v>
      </c>
    </row>
    <row r="4" spans="1:8">
      <c r="A4" s="2" t="s">
        <v>177</v>
      </c>
      <c r="B4" s="3" t="s">
        <v>312</v>
      </c>
      <c r="C4" s="3" t="s">
        <v>313</v>
      </c>
      <c r="D4" s="3" t="s">
        <v>307</v>
      </c>
      <c r="E4" s="3" t="s">
        <v>314</v>
      </c>
      <c r="F4" s="3" t="s">
        <v>315</v>
      </c>
      <c r="G4" s="3" t="s">
        <v>310</v>
      </c>
      <c r="H4" s="3" t="s">
        <v>311</v>
      </c>
    </row>
    <row r="5" spans="1:8">
      <c r="A5" s="2" t="s">
        <v>178</v>
      </c>
      <c r="B5" s="3" t="s">
        <v>284</v>
      </c>
      <c r="C5" s="3" t="s">
        <v>316</v>
      </c>
      <c r="D5" s="3" t="s">
        <v>317</v>
      </c>
      <c r="E5" s="3" t="s">
        <v>318</v>
      </c>
      <c r="F5" s="3" t="s">
        <v>319</v>
      </c>
      <c r="G5" s="3" t="s">
        <v>320</v>
      </c>
      <c r="H5" s="3" t="s">
        <v>321</v>
      </c>
    </row>
    <row r="6" spans="1:8">
      <c r="A6" s="2" t="s">
        <v>179</v>
      </c>
      <c r="B6" s="3" t="s">
        <v>322</v>
      </c>
      <c r="C6" s="3" t="s">
        <v>323</v>
      </c>
      <c r="D6" s="3" t="s">
        <v>285</v>
      </c>
      <c r="E6" s="3" t="s">
        <v>324</v>
      </c>
      <c r="F6" s="3" t="s">
        <v>325</v>
      </c>
      <c r="G6" s="3" t="s">
        <v>326</v>
      </c>
      <c r="H6" s="3" t="s">
        <v>285</v>
      </c>
    </row>
    <row r="7" spans="1:8">
      <c r="A7" s="2" t="s">
        <v>180</v>
      </c>
      <c r="B7" s="3" t="s">
        <v>327</v>
      </c>
      <c r="C7" s="3" t="s">
        <v>328</v>
      </c>
      <c r="D7" s="3" t="s">
        <v>328</v>
      </c>
      <c r="E7" s="3" t="s">
        <v>328</v>
      </c>
      <c r="F7" s="3" t="s">
        <v>328</v>
      </c>
      <c r="G7" s="3" t="s">
        <v>328</v>
      </c>
      <c r="H7" s="3" t="s">
        <v>328</v>
      </c>
    </row>
    <row r="8" spans="1:8">
      <c r="A8" s="2" t="s">
        <v>181</v>
      </c>
      <c r="B8" s="3" t="s">
        <v>329</v>
      </c>
      <c r="C8" s="3" t="s">
        <v>330</v>
      </c>
      <c r="D8" s="3" t="s">
        <v>331</v>
      </c>
      <c r="E8" s="3" t="s">
        <v>332</v>
      </c>
      <c r="F8" s="3" t="s">
        <v>333</v>
      </c>
      <c r="G8" s="3" t="s">
        <v>334</v>
      </c>
      <c r="H8" s="3" t="s">
        <v>335</v>
      </c>
    </row>
    <row r="9" spans="1:8">
      <c r="A9" s="2" t="s">
        <v>182</v>
      </c>
      <c r="B9" s="3" t="s">
        <v>329</v>
      </c>
      <c r="C9" s="3" t="s">
        <v>330</v>
      </c>
      <c r="D9" s="3" t="s">
        <v>331</v>
      </c>
      <c r="E9" s="3" t="s">
        <v>332</v>
      </c>
      <c r="F9" s="3" t="s">
        <v>333</v>
      </c>
      <c r="G9" s="3" t="s">
        <v>334</v>
      </c>
      <c r="H9" s="3" t="s">
        <v>335</v>
      </c>
    </row>
    <row r="10" spans="1:8">
      <c r="A10" s="2" t="s">
        <v>183</v>
      </c>
      <c r="B10" s="3" t="s">
        <v>336</v>
      </c>
      <c r="C10" s="3" t="s">
        <v>337</v>
      </c>
      <c r="D10" s="3" t="s">
        <v>331</v>
      </c>
      <c r="E10" s="3" t="s">
        <v>338</v>
      </c>
      <c r="F10" s="3" t="s">
        <v>339</v>
      </c>
      <c r="G10" s="3" t="s">
        <v>334</v>
      </c>
      <c r="H10" s="3" t="s">
        <v>340</v>
      </c>
    </row>
    <row r="11" spans="1:8">
      <c r="A11" s="2" t="s">
        <v>163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</row>
    <row r="12" spans="1:8">
      <c r="A12" s="2" t="s">
        <v>184</v>
      </c>
      <c r="B12" s="4">
        <v>5</v>
      </c>
      <c r="C12" s="4">
        <v>-1</v>
      </c>
      <c r="D12" s="4">
        <v>-1</v>
      </c>
      <c r="E12" s="4">
        <v>-1</v>
      </c>
      <c r="F12" s="4">
        <v>-1</v>
      </c>
      <c r="G12" s="4">
        <v>-1</v>
      </c>
      <c r="H12" s="4">
        <v>-1</v>
      </c>
    </row>
    <row r="13" spans="1:8">
      <c r="A13" s="2" t="s">
        <v>185</v>
      </c>
      <c r="B13" s="4">
        <v>5</v>
      </c>
      <c r="C13" s="4">
        <v>51</v>
      </c>
      <c r="D13" s="4">
        <v>5</v>
      </c>
      <c r="E13" s="4">
        <v>5</v>
      </c>
      <c r="F13" s="4">
        <v>5</v>
      </c>
      <c r="G13" s="4">
        <v>5</v>
      </c>
      <c r="H13" s="4">
        <v>5</v>
      </c>
    </row>
    <row r="14" spans="1:8">
      <c r="A14" s="2" t="s">
        <v>186</v>
      </c>
      <c r="B14" s="4">
        <v>0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</row>
    <row r="15" spans="1:8">
      <c r="A15" s="2" t="s">
        <v>187</v>
      </c>
      <c r="B15" s="4">
        <v>104</v>
      </c>
      <c r="C15" s="4">
        <v>0</v>
      </c>
      <c r="D15" s="4">
        <v>103</v>
      </c>
      <c r="E15" s="4">
        <v>0</v>
      </c>
      <c r="F15" s="4">
        <v>0</v>
      </c>
      <c r="G15" s="4">
        <v>103</v>
      </c>
      <c r="H15" s="4">
        <v>104</v>
      </c>
    </row>
    <row r="16" spans="1:8">
      <c r="A16" s="2" t="s">
        <v>188</v>
      </c>
      <c r="B16" s="4">
        <v>50</v>
      </c>
      <c r="C16" s="4">
        <v>500</v>
      </c>
      <c r="D16" s="4">
        <v>500</v>
      </c>
      <c r="E16" s="4">
        <v>500</v>
      </c>
      <c r="F16" s="4">
        <v>500</v>
      </c>
      <c r="G16" s="4">
        <v>500</v>
      </c>
      <c r="H16" s="4">
        <v>500</v>
      </c>
    </row>
    <row r="17" spans="1:8">
      <c r="A17" s="2" t="s">
        <v>9</v>
      </c>
      <c r="B17" s="3" t="s">
        <v>53</v>
      </c>
      <c r="C17" s="3" t="s">
        <v>341</v>
      </c>
      <c r="D17" s="3" t="s">
        <v>342</v>
      </c>
      <c r="E17" s="3" t="s">
        <v>343</v>
      </c>
      <c r="F17" s="3" t="s">
        <v>344</v>
      </c>
      <c r="G17" s="3" t="s">
        <v>345</v>
      </c>
      <c r="H17" s="3" t="s">
        <v>346</v>
      </c>
    </row>
    <row r="18" spans="1:8">
      <c r="A18" s="2" t="s">
        <v>189</v>
      </c>
      <c r="B18" s="3" t="s">
        <v>347</v>
      </c>
      <c r="C18" s="3" t="s">
        <v>348</v>
      </c>
      <c r="D18" s="3" t="s">
        <v>349</v>
      </c>
      <c r="E18" s="3" t="s">
        <v>349</v>
      </c>
      <c r="F18" s="3" t="s">
        <v>350</v>
      </c>
      <c r="G18" s="3" t="s">
        <v>349</v>
      </c>
      <c r="H18" s="3" t="s">
        <v>350</v>
      </c>
    </row>
    <row r="19" spans="1:8">
      <c r="A19" s="2" t="s">
        <v>190</v>
      </c>
      <c r="B19" s="4">
        <v>-1</v>
      </c>
      <c r="C19" s="4">
        <v>-1</v>
      </c>
      <c r="D19" s="4">
        <v>-1</v>
      </c>
      <c r="E19" s="4">
        <v>2</v>
      </c>
      <c r="F19" s="4">
        <v>-1</v>
      </c>
      <c r="G19" s="4">
        <v>9</v>
      </c>
      <c r="H19" s="4">
        <v>-1</v>
      </c>
    </row>
    <row r="20" spans="1:8">
      <c r="A20" s="2" t="s">
        <v>191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</row>
    <row r="21" spans="1:8">
      <c r="A21" s="2" t="s">
        <v>192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</row>
    <row r="22" spans="1:8">
      <c r="A22" s="2" t="s">
        <v>193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</row>
    <row r="23" spans="1:8">
      <c r="A23" s="2" t="s">
        <v>194</v>
      </c>
      <c r="B23" s="4">
        <v>-1</v>
      </c>
      <c r="C23" s="4">
        <v>-1</v>
      </c>
      <c r="D23" s="4">
        <v>-1</v>
      </c>
      <c r="E23" s="4">
        <v>-1</v>
      </c>
      <c r="F23" s="4">
        <v>-1</v>
      </c>
      <c r="G23" s="4">
        <v>-1</v>
      </c>
      <c r="H23" s="4">
        <v>-1</v>
      </c>
    </row>
    <row r="24" spans="1:8">
      <c r="A24" s="2" t="s">
        <v>195</v>
      </c>
      <c r="B24" s="4">
        <v>-1</v>
      </c>
      <c r="C24" s="4">
        <v>-1</v>
      </c>
      <c r="D24" s="4">
        <v>-1</v>
      </c>
      <c r="E24" s="4">
        <v>-1</v>
      </c>
      <c r="F24" s="4">
        <v>-1</v>
      </c>
      <c r="G24" s="4">
        <v>-1</v>
      </c>
      <c r="H24" s="4">
        <v>-1</v>
      </c>
    </row>
    <row r="25" spans="1:8">
      <c r="A25" s="2" t="s">
        <v>196</v>
      </c>
      <c r="B25" s="4">
        <v>-1</v>
      </c>
      <c r="C25" s="4">
        <v>-1</v>
      </c>
      <c r="D25" s="4">
        <v>-1</v>
      </c>
      <c r="E25" s="4">
        <v>-1</v>
      </c>
      <c r="F25" s="4">
        <v>-1</v>
      </c>
      <c r="G25" s="4">
        <v>-1</v>
      </c>
      <c r="H25" s="4">
        <v>-1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Ark13">
    <tabColor theme="7" tint="0.39997558519241921"/>
  </sheetPr>
  <dimension ref="A1:G25"/>
  <sheetViews>
    <sheetView workbookViewId="0">
      <selection activeCell="E38" sqref="E38"/>
    </sheetView>
  </sheetViews>
  <sheetFormatPr defaultRowHeight="15"/>
  <cols>
    <col min="1" max="1" width="18.7109375" bestFit="1" customWidth="1"/>
    <col min="2" max="7" width="25.7109375" customWidth="1"/>
  </cols>
  <sheetData>
    <row r="1" spans="1:7">
      <c r="A1" t="s">
        <v>380</v>
      </c>
    </row>
    <row r="3" spans="1:7">
      <c r="A3" s="2" t="s">
        <v>198</v>
      </c>
      <c r="B3" s="4">
        <v>24411459</v>
      </c>
      <c r="C3" s="4">
        <v>24411460</v>
      </c>
      <c r="D3" s="4">
        <v>24411461</v>
      </c>
      <c r="E3" s="4">
        <v>24411462</v>
      </c>
      <c r="F3" s="4">
        <v>24411463</v>
      </c>
      <c r="G3" s="4">
        <v>24411464</v>
      </c>
    </row>
    <row r="4" spans="1:7">
      <c r="A4" s="2" t="s">
        <v>199</v>
      </c>
      <c r="B4" s="3" t="s">
        <v>351</v>
      </c>
      <c r="C4" s="3" t="s">
        <v>351</v>
      </c>
      <c r="D4" s="3" t="s">
        <v>351</v>
      </c>
      <c r="E4" s="3" t="s">
        <v>351</v>
      </c>
      <c r="F4" s="3" t="s">
        <v>351</v>
      </c>
      <c r="G4" s="3" t="s">
        <v>351</v>
      </c>
    </row>
    <row r="5" spans="1:7">
      <c r="A5" s="2" t="s">
        <v>200</v>
      </c>
      <c r="B5" s="3" t="s">
        <v>352</v>
      </c>
      <c r="C5" s="3" t="s">
        <v>353</v>
      </c>
      <c r="D5" s="3" t="s">
        <v>354</v>
      </c>
      <c r="E5" s="3" t="s">
        <v>355</v>
      </c>
      <c r="F5" s="3" t="s">
        <v>356</v>
      </c>
      <c r="G5" s="3" t="s">
        <v>357</v>
      </c>
    </row>
    <row r="6" spans="1:7">
      <c r="A6" s="2" t="s">
        <v>201</v>
      </c>
      <c r="B6" s="4">
        <v>74</v>
      </c>
      <c r="C6" s="4">
        <v>4</v>
      </c>
      <c r="D6" s="4">
        <v>24</v>
      </c>
      <c r="E6" s="4">
        <v>5</v>
      </c>
      <c r="F6" s="4">
        <v>5</v>
      </c>
      <c r="G6" s="4">
        <v>42</v>
      </c>
    </row>
    <row r="7" spans="1:7">
      <c r="A7" s="2" t="s">
        <v>202</v>
      </c>
      <c r="B7" s="3" t="s">
        <v>358</v>
      </c>
      <c r="C7" s="3" t="s">
        <v>358</v>
      </c>
      <c r="D7" s="3" t="s">
        <v>358</v>
      </c>
      <c r="E7" s="3" t="s">
        <v>358</v>
      </c>
      <c r="F7" s="3" t="s">
        <v>358</v>
      </c>
      <c r="G7" s="3" t="s">
        <v>358</v>
      </c>
    </row>
    <row r="8" spans="1:7">
      <c r="A8" s="2" t="s">
        <v>203</v>
      </c>
      <c r="B8" s="3" t="s">
        <v>84</v>
      </c>
      <c r="C8" s="3" t="s">
        <v>84</v>
      </c>
      <c r="D8" s="3" t="s">
        <v>84</v>
      </c>
      <c r="E8" s="3" t="s">
        <v>84</v>
      </c>
      <c r="F8" s="3" t="s">
        <v>84</v>
      </c>
      <c r="G8" s="3" t="s">
        <v>84</v>
      </c>
    </row>
    <row r="9" spans="1:7">
      <c r="A9" s="2" t="s">
        <v>204</v>
      </c>
      <c r="B9" s="3" t="s">
        <v>359</v>
      </c>
      <c r="C9" s="3" t="s">
        <v>359</v>
      </c>
      <c r="D9" s="3" t="s">
        <v>360</v>
      </c>
      <c r="E9" s="3" t="s">
        <v>360</v>
      </c>
      <c r="F9" s="3" t="s">
        <v>360</v>
      </c>
      <c r="G9" s="3" t="s">
        <v>361</v>
      </c>
    </row>
    <row r="10" spans="1:7">
      <c r="A10" s="2" t="s">
        <v>205</v>
      </c>
      <c r="B10" s="3" t="s">
        <v>284</v>
      </c>
      <c r="C10" s="3" t="s">
        <v>284</v>
      </c>
      <c r="D10" s="3" t="s">
        <v>284</v>
      </c>
      <c r="E10" s="3" t="s">
        <v>284</v>
      </c>
      <c r="F10" s="3" t="s">
        <v>284</v>
      </c>
      <c r="G10" s="3" t="s">
        <v>284</v>
      </c>
    </row>
    <row r="11" spans="1:7">
      <c r="A11" s="2" t="s">
        <v>206</v>
      </c>
      <c r="B11" s="3" t="s">
        <v>284</v>
      </c>
      <c r="C11" s="3" t="s">
        <v>284</v>
      </c>
      <c r="D11" s="3" t="s">
        <v>284</v>
      </c>
      <c r="E11" s="3" t="s">
        <v>284</v>
      </c>
      <c r="F11" s="3" t="s">
        <v>284</v>
      </c>
      <c r="G11" s="3" t="s">
        <v>284</v>
      </c>
    </row>
    <row r="12" spans="1:7">
      <c r="A12" s="2" t="s">
        <v>207</v>
      </c>
      <c r="B12" s="3" t="s">
        <v>362</v>
      </c>
      <c r="C12" s="3" t="s">
        <v>363</v>
      </c>
      <c r="D12" s="3" t="s">
        <v>364</v>
      </c>
      <c r="E12" s="3" t="s">
        <v>365</v>
      </c>
      <c r="F12" s="3" t="s">
        <v>363</v>
      </c>
      <c r="G12" s="3" t="s">
        <v>365</v>
      </c>
    </row>
    <row r="13" spans="1:7">
      <c r="A13" s="2" t="s">
        <v>40</v>
      </c>
      <c r="B13" s="3" t="s">
        <v>91</v>
      </c>
      <c r="C13" s="3" t="s">
        <v>80</v>
      </c>
      <c r="D13" s="3" t="s">
        <v>82</v>
      </c>
      <c r="E13" s="3" t="s">
        <v>81</v>
      </c>
      <c r="F13" s="3" t="s">
        <v>80</v>
      </c>
      <c r="G13" s="3" t="s">
        <v>81</v>
      </c>
    </row>
    <row r="14" spans="1:7">
      <c r="A14" s="2" t="s">
        <v>208</v>
      </c>
      <c r="B14" s="3" t="s">
        <v>366</v>
      </c>
      <c r="C14" s="3" t="s">
        <v>367</v>
      </c>
      <c r="D14" s="3" t="s">
        <v>368</v>
      </c>
      <c r="E14" s="3" t="s">
        <v>369</v>
      </c>
      <c r="F14" s="3" t="s">
        <v>370</v>
      </c>
      <c r="G14" s="3" t="s">
        <v>371</v>
      </c>
    </row>
    <row r="15" spans="1:7">
      <c r="A15" s="2" t="s">
        <v>209</v>
      </c>
      <c r="B15" s="4">
        <v>10</v>
      </c>
      <c r="C15" s="4">
        <v>130</v>
      </c>
      <c r="D15" s="4">
        <v>30</v>
      </c>
      <c r="E15" s="4">
        <v>40</v>
      </c>
      <c r="F15" s="4">
        <v>90</v>
      </c>
      <c r="G15" s="4">
        <v>60</v>
      </c>
    </row>
    <row r="16" spans="1:7">
      <c r="A16" s="2" t="s">
        <v>185</v>
      </c>
      <c r="B16" s="4">
        <v>51</v>
      </c>
      <c r="C16" s="4">
        <v>51</v>
      </c>
      <c r="D16" s="4">
        <v>51</v>
      </c>
      <c r="E16" s="4">
        <v>51</v>
      </c>
      <c r="F16" s="4">
        <v>51</v>
      </c>
      <c r="G16" s="4">
        <v>51</v>
      </c>
    </row>
    <row r="17" spans="1:7">
      <c r="A17" s="2" t="s">
        <v>95</v>
      </c>
      <c r="B17" s="3" t="s">
        <v>372</v>
      </c>
      <c r="C17" s="3" t="s">
        <v>372</v>
      </c>
      <c r="D17" s="3" t="s">
        <v>373</v>
      </c>
      <c r="E17" s="3" t="s">
        <v>373</v>
      </c>
      <c r="F17" s="3" t="s">
        <v>373</v>
      </c>
      <c r="G17" s="3" t="s">
        <v>374</v>
      </c>
    </row>
    <row r="18" spans="1:7">
      <c r="A18" s="2" t="s">
        <v>210</v>
      </c>
      <c r="B18" s="3" t="s">
        <v>375</v>
      </c>
      <c r="C18" s="3" t="s">
        <v>375</v>
      </c>
      <c r="D18" s="3" t="s">
        <v>376</v>
      </c>
      <c r="E18" s="3" t="s">
        <v>376</v>
      </c>
      <c r="F18" s="3" t="s">
        <v>376</v>
      </c>
      <c r="G18" s="3" t="s">
        <v>377</v>
      </c>
    </row>
    <row r="19" spans="1:7">
      <c r="A19" s="2" t="s">
        <v>211</v>
      </c>
      <c r="B19" s="3" t="s">
        <v>378</v>
      </c>
      <c r="C19" s="3" t="s">
        <v>378</v>
      </c>
      <c r="D19" s="3" t="s">
        <v>378</v>
      </c>
      <c r="E19" s="3" t="s">
        <v>378</v>
      </c>
      <c r="F19" s="3" t="s">
        <v>378</v>
      </c>
      <c r="G19" s="3" t="s">
        <v>378</v>
      </c>
    </row>
    <row r="20" spans="1:7">
      <c r="A20" s="2" t="s">
        <v>212</v>
      </c>
      <c r="B20" s="4">
        <v>73</v>
      </c>
      <c r="C20" s="4">
        <v>71</v>
      </c>
      <c r="D20" s="4">
        <v>181</v>
      </c>
      <c r="E20" s="4">
        <v>179</v>
      </c>
      <c r="F20" s="4">
        <v>178</v>
      </c>
      <c r="G20" s="4">
        <v>48</v>
      </c>
    </row>
    <row r="21" spans="1:7">
      <c r="A21" s="2" t="s">
        <v>213</v>
      </c>
      <c r="B21" s="4">
        <v>71</v>
      </c>
      <c r="C21" s="4">
        <v>69</v>
      </c>
      <c r="D21" s="4">
        <v>179</v>
      </c>
      <c r="E21" s="4">
        <v>178</v>
      </c>
      <c r="F21" s="4">
        <v>176</v>
      </c>
      <c r="G21" s="4">
        <v>47</v>
      </c>
    </row>
    <row r="22" spans="1:7">
      <c r="A22" s="2" t="s">
        <v>214</v>
      </c>
      <c r="B22" s="4">
        <v>0</v>
      </c>
      <c r="C22" s="4">
        <v>2</v>
      </c>
      <c r="D22" s="4">
        <v>0</v>
      </c>
      <c r="E22" s="4">
        <v>2</v>
      </c>
      <c r="F22" s="4">
        <v>3</v>
      </c>
      <c r="G22" s="4">
        <v>0</v>
      </c>
    </row>
    <row r="23" spans="1:7">
      <c r="A23" s="2" t="s">
        <v>215</v>
      </c>
      <c r="B23" s="4">
        <v>2</v>
      </c>
      <c r="C23" s="4">
        <v>4</v>
      </c>
      <c r="D23" s="4">
        <v>2</v>
      </c>
      <c r="E23" s="4">
        <v>3</v>
      </c>
      <c r="F23" s="4">
        <v>5</v>
      </c>
      <c r="G23" s="4">
        <v>1</v>
      </c>
    </row>
    <row r="24" spans="1:7">
      <c r="A24" s="2" t="s">
        <v>101</v>
      </c>
      <c r="B24" s="3" t="s">
        <v>53</v>
      </c>
      <c r="C24" s="3" t="s">
        <v>53</v>
      </c>
      <c r="D24" s="3" t="s">
        <v>53</v>
      </c>
      <c r="E24" s="3" t="s">
        <v>53</v>
      </c>
      <c r="F24" s="3" t="s">
        <v>53</v>
      </c>
      <c r="G24" s="3" t="s">
        <v>53</v>
      </c>
    </row>
    <row r="25" spans="1:7">
      <c r="A25" s="2" t="s">
        <v>189</v>
      </c>
      <c r="B25" s="3" t="s">
        <v>379</v>
      </c>
      <c r="C25" s="3" t="s">
        <v>379</v>
      </c>
      <c r="D25" s="3" t="s">
        <v>379</v>
      </c>
      <c r="E25" s="3" t="s">
        <v>379</v>
      </c>
      <c r="F25" s="3" t="s">
        <v>379</v>
      </c>
      <c r="G25" s="3" t="s">
        <v>379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Ark14">
    <tabColor theme="7" tint="0.39997558519241921"/>
  </sheetPr>
  <dimension ref="A1:H8"/>
  <sheetViews>
    <sheetView workbookViewId="0">
      <selection activeCell="AD35" sqref="AD35"/>
    </sheetView>
  </sheetViews>
  <sheetFormatPr defaultRowHeight="15"/>
  <cols>
    <col min="1" max="1" width="16.28515625" bestFit="1" customWidth="1"/>
    <col min="2" max="8" width="19.85546875" customWidth="1"/>
  </cols>
  <sheetData>
    <row r="1" spans="1:8">
      <c r="A1" t="s">
        <v>391</v>
      </c>
    </row>
    <row r="3" spans="1:8">
      <c r="A3" s="2" t="s">
        <v>96</v>
      </c>
      <c r="B3" s="3" t="s">
        <v>256</v>
      </c>
      <c r="C3" s="3" t="s">
        <v>256</v>
      </c>
      <c r="D3" s="3" t="s">
        <v>256</v>
      </c>
      <c r="E3" s="3" t="s">
        <v>256</v>
      </c>
      <c r="F3" s="3" t="s">
        <v>256</v>
      </c>
      <c r="G3" s="3" t="s">
        <v>256</v>
      </c>
      <c r="H3" s="3" t="s">
        <v>256</v>
      </c>
    </row>
    <row r="4" spans="1:8">
      <c r="A4" s="2" t="s">
        <v>95</v>
      </c>
      <c r="B4" s="3" t="s">
        <v>254</v>
      </c>
      <c r="C4" s="3" t="s">
        <v>255</v>
      </c>
      <c r="D4" s="3" t="s">
        <v>262</v>
      </c>
      <c r="E4" s="3" t="s">
        <v>263</v>
      </c>
      <c r="F4" s="3" t="s">
        <v>264</v>
      </c>
      <c r="G4" s="3" t="s">
        <v>302</v>
      </c>
      <c r="H4" s="3" t="s">
        <v>381</v>
      </c>
    </row>
    <row r="5" spans="1:8">
      <c r="A5" s="2" t="s">
        <v>382</v>
      </c>
      <c r="B5" s="3" t="s">
        <v>383</v>
      </c>
      <c r="C5" s="3" t="s">
        <v>384</v>
      </c>
      <c r="D5" s="3" t="s">
        <v>385</v>
      </c>
      <c r="E5" s="3" t="s">
        <v>386</v>
      </c>
      <c r="F5" s="3" t="s">
        <v>387</v>
      </c>
      <c r="G5" s="3" t="s">
        <v>386</v>
      </c>
      <c r="H5" s="3" t="s">
        <v>387</v>
      </c>
    </row>
    <row r="6" spans="1:8">
      <c r="A6" s="2" t="s">
        <v>388</v>
      </c>
      <c r="B6" s="4">
        <v>1</v>
      </c>
      <c r="C6" s="4">
        <v>6</v>
      </c>
      <c r="D6" s="4">
        <v>0</v>
      </c>
      <c r="E6" s="4">
        <v>0</v>
      </c>
      <c r="F6" s="4">
        <v>0</v>
      </c>
      <c r="G6" s="4">
        <v>0</v>
      </c>
      <c r="H6" s="4">
        <v>1</v>
      </c>
    </row>
    <row r="7" spans="1:8">
      <c r="A7" s="2" t="s">
        <v>389</v>
      </c>
      <c r="B7" s="4">
        <v>7</v>
      </c>
      <c r="C7" s="4">
        <v>18</v>
      </c>
      <c r="D7" s="4">
        <v>0</v>
      </c>
      <c r="E7" s="4">
        <v>3</v>
      </c>
      <c r="F7" s="4">
        <v>0</v>
      </c>
      <c r="G7" s="4">
        <v>2</v>
      </c>
      <c r="H7" s="4">
        <v>1</v>
      </c>
    </row>
    <row r="8" spans="1:8">
      <c r="A8" s="2" t="s">
        <v>390</v>
      </c>
      <c r="B8" s="4">
        <v>2</v>
      </c>
      <c r="C8" s="4">
        <v>17</v>
      </c>
      <c r="D8" s="4">
        <v>3</v>
      </c>
      <c r="E8" s="4">
        <v>0</v>
      </c>
      <c r="F8" s="4">
        <v>0</v>
      </c>
      <c r="G8" s="4">
        <v>1</v>
      </c>
      <c r="H8" s="4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Ark15">
    <tabColor theme="7" tint="0.39997558519241921"/>
  </sheetPr>
  <dimension ref="A1:I19"/>
  <sheetViews>
    <sheetView workbookViewId="0">
      <selection activeCell="AD35" sqref="AD35"/>
    </sheetView>
  </sheetViews>
  <sheetFormatPr defaultRowHeight="15"/>
  <cols>
    <col min="1" max="1" width="16.140625" bestFit="1" customWidth="1"/>
    <col min="2" max="9" width="20.85546875" customWidth="1"/>
  </cols>
  <sheetData>
    <row r="1" spans="1:9">
      <c r="A1" t="s">
        <v>427</v>
      </c>
    </row>
    <row r="3" spans="1:9">
      <c r="A3" s="2" t="s">
        <v>208</v>
      </c>
      <c r="B3" s="3" t="s">
        <v>392</v>
      </c>
      <c r="C3" s="3" t="s">
        <v>393</v>
      </c>
      <c r="D3" s="3" t="s">
        <v>394</v>
      </c>
      <c r="E3" s="3" t="s">
        <v>395</v>
      </c>
      <c r="F3" s="3" t="s">
        <v>396</v>
      </c>
      <c r="G3" s="3" t="s">
        <v>397</v>
      </c>
      <c r="H3" s="3" t="s">
        <v>398</v>
      </c>
      <c r="I3" s="3" t="s">
        <v>399</v>
      </c>
    </row>
    <row r="4" spans="1:9">
      <c r="A4" s="2" t="s">
        <v>24</v>
      </c>
      <c r="B4" s="4">
        <v>911177121</v>
      </c>
      <c r="C4" s="4">
        <v>911177236</v>
      </c>
      <c r="D4" s="4">
        <v>911177223</v>
      </c>
      <c r="E4" s="4">
        <v>911176376</v>
      </c>
      <c r="F4" s="4">
        <v>614564407</v>
      </c>
      <c r="G4" s="4">
        <v>911177249</v>
      </c>
      <c r="H4" s="4">
        <v>911177246</v>
      </c>
      <c r="I4" s="4">
        <v>911177226</v>
      </c>
    </row>
    <row r="5" spans="1:9">
      <c r="A5" s="2" t="s">
        <v>400</v>
      </c>
      <c r="B5" s="4">
        <v>3</v>
      </c>
      <c r="C5" s="4">
        <v>2</v>
      </c>
      <c r="D5" s="4">
        <v>2</v>
      </c>
      <c r="E5" s="4">
        <v>2</v>
      </c>
      <c r="F5" s="4">
        <v>2</v>
      </c>
      <c r="G5" s="4">
        <v>2</v>
      </c>
      <c r="H5" s="4">
        <v>2</v>
      </c>
      <c r="I5" s="4">
        <v>2</v>
      </c>
    </row>
    <row r="6" spans="1:9">
      <c r="A6" s="2" t="s">
        <v>188</v>
      </c>
      <c r="B6" s="4">
        <v>61</v>
      </c>
      <c r="C6" s="4">
        <v>61</v>
      </c>
      <c r="D6" s="4">
        <v>61</v>
      </c>
      <c r="E6" s="4">
        <v>61</v>
      </c>
      <c r="F6" s="4">
        <v>61</v>
      </c>
      <c r="G6" s="4">
        <v>61</v>
      </c>
      <c r="H6" s="4">
        <v>61</v>
      </c>
      <c r="I6" s="4">
        <v>61</v>
      </c>
    </row>
    <row r="7" spans="1:9">
      <c r="A7" s="2" t="s">
        <v>180</v>
      </c>
      <c r="B7" s="3" t="s">
        <v>401</v>
      </c>
      <c r="C7" s="3" t="s">
        <v>401</v>
      </c>
      <c r="D7" s="3" t="s">
        <v>401</v>
      </c>
      <c r="E7" s="3" t="s">
        <v>401</v>
      </c>
      <c r="F7" s="3" t="s">
        <v>401</v>
      </c>
      <c r="G7" s="3" t="s">
        <v>401</v>
      </c>
      <c r="H7" s="3" t="s">
        <v>401</v>
      </c>
      <c r="I7" s="3" t="s">
        <v>401</v>
      </c>
    </row>
    <row r="8" spans="1:9">
      <c r="A8" s="2" t="s">
        <v>402</v>
      </c>
      <c r="B8" s="4">
        <v>1</v>
      </c>
      <c r="C8" s="4">
        <v>1</v>
      </c>
      <c r="D8" s="4">
        <v>5</v>
      </c>
      <c r="E8" s="4">
        <v>2</v>
      </c>
      <c r="F8" s="4">
        <v>2</v>
      </c>
      <c r="G8" s="4">
        <v>1</v>
      </c>
      <c r="H8" s="4">
        <v>1</v>
      </c>
      <c r="I8" s="4">
        <v>1</v>
      </c>
    </row>
    <row r="9" spans="1:9">
      <c r="A9" s="2" t="s">
        <v>9</v>
      </c>
      <c r="B9" s="3" t="s">
        <v>403</v>
      </c>
      <c r="C9" s="3" t="s">
        <v>404</v>
      </c>
      <c r="D9" s="3" t="s">
        <v>405</v>
      </c>
      <c r="E9" s="3" t="s">
        <v>406</v>
      </c>
      <c r="F9" s="3" t="s">
        <v>407</v>
      </c>
      <c r="G9" s="3" t="s">
        <v>408</v>
      </c>
      <c r="H9" s="3" t="s">
        <v>409</v>
      </c>
      <c r="I9" s="3" t="s">
        <v>410</v>
      </c>
    </row>
    <row r="10" spans="1:9">
      <c r="A10" s="2" t="s">
        <v>411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</row>
    <row r="11" spans="1:9">
      <c r="A11" s="2" t="s">
        <v>412</v>
      </c>
      <c r="B11" s="3" t="s">
        <v>413</v>
      </c>
      <c r="C11" s="3" t="s">
        <v>414</v>
      </c>
      <c r="D11" s="3" t="s">
        <v>415</v>
      </c>
      <c r="E11" s="3" t="s">
        <v>416</v>
      </c>
      <c r="F11" s="3" t="s">
        <v>417</v>
      </c>
      <c r="G11" s="3" t="s">
        <v>93</v>
      </c>
      <c r="H11" s="3" t="s">
        <v>418</v>
      </c>
      <c r="I11" s="3" t="s">
        <v>419</v>
      </c>
    </row>
    <row r="12" spans="1:9">
      <c r="A12" s="2" t="s">
        <v>185</v>
      </c>
      <c r="B12" s="4">
        <v>10</v>
      </c>
      <c r="C12" s="4">
        <v>50</v>
      </c>
      <c r="D12" s="4">
        <v>50</v>
      </c>
      <c r="E12" s="4">
        <v>50</v>
      </c>
      <c r="F12" s="4">
        <v>51</v>
      </c>
      <c r="G12" s="4">
        <v>50</v>
      </c>
      <c r="H12" s="4">
        <v>50</v>
      </c>
      <c r="I12" s="4">
        <v>50</v>
      </c>
    </row>
    <row r="13" spans="1:9">
      <c r="A13" s="2" t="s">
        <v>420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  <c r="G13" s="3" t="s">
        <v>53</v>
      </c>
      <c r="H13" s="3" t="s">
        <v>53</v>
      </c>
      <c r="I13" s="3" t="s">
        <v>53</v>
      </c>
    </row>
    <row r="14" spans="1:9">
      <c r="A14" s="2" t="s">
        <v>421</v>
      </c>
      <c r="B14" s="4">
        <v>60</v>
      </c>
      <c r="C14" s="4">
        <v>20</v>
      </c>
      <c r="D14" s="4">
        <v>20</v>
      </c>
      <c r="E14" s="4">
        <v>60</v>
      </c>
      <c r="F14" s="4">
        <v>20</v>
      </c>
      <c r="G14" s="4">
        <v>30</v>
      </c>
      <c r="H14" s="4">
        <v>40</v>
      </c>
      <c r="I14" s="4">
        <v>20</v>
      </c>
    </row>
    <row r="15" spans="1:9">
      <c r="A15" s="2" t="s">
        <v>422</v>
      </c>
      <c r="B15" s="4">
        <v>60</v>
      </c>
      <c r="C15" s="4">
        <v>20</v>
      </c>
      <c r="D15" s="4">
        <v>20</v>
      </c>
      <c r="E15" s="4">
        <v>60</v>
      </c>
      <c r="F15" s="4">
        <v>20</v>
      </c>
      <c r="G15" s="4">
        <v>30</v>
      </c>
      <c r="H15" s="4">
        <v>40</v>
      </c>
      <c r="I15" s="4">
        <v>20</v>
      </c>
    </row>
    <row r="16" spans="1:9">
      <c r="A16" s="2" t="s">
        <v>423</v>
      </c>
      <c r="B16" s="3" t="s">
        <v>232</v>
      </c>
      <c r="C16" s="3" t="s">
        <v>232</v>
      </c>
      <c r="D16" s="3" t="s">
        <v>232</v>
      </c>
      <c r="E16" s="3" t="s">
        <v>232</v>
      </c>
      <c r="F16" s="3" t="s">
        <v>232</v>
      </c>
      <c r="G16" s="3" t="s">
        <v>232</v>
      </c>
      <c r="H16" s="3" t="s">
        <v>232</v>
      </c>
      <c r="I16" s="3" t="s">
        <v>232</v>
      </c>
    </row>
    <row r="17" spans="1:9">
      <c r="A17" s="2" t="s">
        <v>424</v>
      </c>
      <c r="B17" s="3" t="s">
        <v>425</v>
      </c>
      <c r="C17" s="3" t="s">
        <v>425</v>
      </c>
      <c r="D17" s="3" t="s">
        <v>425</v>
      </c>
      <c r="E17" s="3" t="s">
        <v>425</v>
      </c>
      <c r="F17" s="3" t="s">
        <v>379</v>
      </c>
      <c r="G17" s="3" t="s">
        <v>425</v>
      </c>
      <c r="H17" s="3" t="s">
        <v>425</v>
      </c>
      <c r="I17" s="3" t="s">
        <v>425</v>
      </c>
    </row>
    <row r="18" spans="1:9">
      <c r="A18" s="2" t="s">
        <v>426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>
      <c r="A19" s="2" t="s">
        <v>183</v>
      </c>
      <c r="B19" s="3" t="s">
        <v>290</v>
      </c>
      <c r="C19" s="3" t="s">
        <v>290</v>
      </c>
      <c r="D19" s="3" t="s">
        <v>290</v>
      </c>
      <c r="E19" s="3" t="s">
        <v>290</v>
      </c>
      <c r="F19" s="3" t="s">
        <v>290</v>
      </c>
      <c r="G19" s="3" t="s">
        <v>290</v>
      </c>
      <c r="H19" s="3" t="s">
        <v>290</v>
      </c>
      <c r="I19" s="3" t="s">
        <v>290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Ark16">
    <tabColor theme="7" tint="0.39997558519241921"/>
  </sheetPr>
  <dimension ref="A1:H14"/>
  <sheetViews>
    <sheetView workbookViewId="0">
      <selection activeCell="C44" sqref="C44"/>
    </sheetView>
  </sheetViews>
  <sheetFormatPr defaultRowHeight="15"/>
  <cols>
    <col min="1" max="1" width="17.42578125" bestFit="1" customWidth="1"/>
    <col min="2" max="8" width="20.85546875" customWidth="1"/>
  </cols>
  <sheetData>
    <row r="1" spans="1:8">
      <c r="A1" t="s">
        <v>448</v>
      </c>
    </row>
    <row r="3" spans="1:8">
      <c r="A3" s="2" t="s">
        <v>428</v>
      </c>
      <c r="B3" s="3" t="s">
        <v>429</v>
      </c>
      <c r="C3" s="3" t="s">
        <v>430</v>
      </c>
      <c r="D3" s="3" t="s">
        <v>431</v>
      </c>
      <c r="E3" s="3" t="s">
        <v>432</v>
      </c>
      <c r="F3" s="3" t="s">
        <v>433</v>
      </c>
      <c r="G3" s="3" t="s">
        <v>434</v>
      </c>
      <c r="H3" s="3" t="s">
        <v>435</v>
      </c>
    </row>
    <row r="4" spans="1:8">
      <c r="A4" s="2" t="s">
        <v>436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</row>
    <row r="5" spans="1:8">
      <c r="A5" s="2" t="s">
        <v>437</v>
      </c>
      <c r="B5" s="3" t="s">
        <v>284</v>
      </c>
      <c r="C5" s="3" t="s">
        <v>284</v>
      </c>
      <c r="D5" s="3" t="s">
        <v>284</v>
      </c>
      <c r="E5" s="3" t="s">
        <v>284</v>
      </c>
      <c r="F5" s="3" t="s">
        <v>284</v>
      </c>
      <c r="G5" s="3" t="s">
        <v>284</v>
      </c>
      <c r="H5" s="3" t="s">
        <v>284</v>
      </c>
    </row>
    <row r="6" spans="1:8">
      <c r="A6" s="2" t="s">
        <v>420</v>
      </c>
      <c r="B6" s="3" t="s">
        <v>438</v>
      </c>
      <c r="C6" s="3" t="s">
        <v>438</v>
      </c>
      <c r="D6" s="3" t="s">
        <v>438</v>
      </c>
      <c r="E6" s="3" t="s">
        <v>438</v>
      </c>
      <c r="F6" s="3" t="s">
        <v>438</v>
      </c>
      <c r="G6" s="3" t="s">
        <v>438</v>
      </c>
      <c r="H6" s="3" t="s">
        <v>438</v>
      </c>
    </row>
    <row r="7" spans="1:8">
      <c r="A7" s="2" t="s">
        <v>439</v>
      </c>
      <c r="B7" s="4">
        <v>400</v>
      </c>
      <c r="C7" s="4">
        <v>40</v>
      </c>
      <c r="D7" s="4">
        <v>2000</v>
      </c>
      <c r="E7" s="4">
        <v>10</v>
      </c>
      <c r="F7" s="4">
        <v>1000</v>
      </c>
      <c r="G7" s="4">
        <v>4</v>
      </c>
      <c r="H7" s="4">
        <v>3</v>
      </c>
    </row>
    <row r="8" spans="1:8">
      <c r="A8" s="2" t="s">
        <v>180</v>
      </c>
      <c r="B8" s="3" t="s">
        <v>327</v>
      </c>
      <c r="C8" s="3" t="s">
        <v>327</v>
      </c>
      <c r="D8" s="3" t="s">
        <v>327</v>
      </c>
      <c r="E8" s="3" t="s">
        <v>327</v>
      </c>
      <c r="F8" s="3" t="s">
        <v>327</v>
      </c>
      <c r="G8" s="3" t="s">
        <v>327</v>
      </c>
      <c r="H8" s="3" t="s">
        <v>327</v>
      </c>
    </row>
    <row r="9" spans="1:8">
      <c r="A9" s="2" t="s">
        <v>188</v>
      </c>
      <c r="B9" s="4">
        <v>50</v>
      </c>
      <c r="C9" s="4">
        <v>50</v>
      </c>
      <c r="D9" s="4">
        <v>50</v>
      </c>
      <c r="E9" s="4">
        <v>50</v>
      </c>
      <c r="F9" s="4">
        <v>50</v>
      </c>
      <c r="G9" s="4">
        <v>50</v>
      </c>
      <c r="H9" s="4">
        <v>50</v>
      </c>
    </row>
    <row r="10" spans="1:8">
      <c r="A10" s="2" t="s">
        <v>189</v>
      </c>
      <c r="B10" s="3" t="s">
        <v>53</v>
      </c>
      <c r="C10" s="3" t="s">
        <v>53</v>
      </c>
      <c r="D10" s="3" t="s">
        <v>53</v>
      </c>
      <c r="E10" s="3" t="s">
        <v>53</v>
      </c>
      <c r="F10" s="3" t="s">
        <v>53</v>
      </c>
      <c r="G10" s="3" t="s">
        <v>53</v>
      </c>
      <c r="H10" s="3" t="s">
        <v>53</v>
      </c>
    </row>
    <row r="11" spans="1:8">
      <c r="A11" s="2" t="s">
        <v>412</v>
      </c>
      <c r="B11" s="3" t="s">
        <v>440</v>
      </c>
      <c r="C11" s="3" t="s">
        <v>441</v>
      </c>
      <c r="D11" s="3" t="s">
        <v>442</v>
      </c>
      <c r="E11" s="3" t="s">
        <v>443</v>
      </c>
      <c r="F11" s="3" t="s">
        <v>444</v>
      </c>
      <c r="G11" s="3" t="s">
        <v>445</v>
      </c>
      <c r="H11" s="3" t="s">
        <v>446</v>
      </c>
    </row>
    <row r="12" spans="1:8">
      <c r="A12" s="2" t="s">
        <v>447</v>
      </c>
      <c r="B12" s="3" t="s">
        <v>53</v>
      </c>
      <c r="C12" s="3" t="s">
        <v>53</v>
      </c>
      <c r="D12" s="3" t="s">
        <v>53</v>
      </c>
      <c r="E12" s="3" t="s">
        <v>53</v>
      </c>
      <c r="F12" s="3" t="s">
        <v>53</v>
      </c>
      <c r="G12" s="3" t="s">
        <v>53</v>
      </c>
      <c r="H12" s="3" t="s">
        <v>53</v>
      </c>
    </row>
    <row r="13" spans="1:8">
      <c r="A13" s="2" t="s">
        <v>109</v>
      </c>
      <c r="B13" s="3" t="s">
        <v>273</v>
      </c>
      <c r="C13" s="3" t="s">
        <v>260</v>
      </c>
      <c r="D13" s="3" t="s">
        <v>274</v>
      </c>
      <c r="E13" s="3" t="s">
        <v>260</v>
      </c>
      <c r="F13" s="3" t="s">
        <v>274</v>
      </c>
      <c r="G13" s="3" t="s">
        <v>260</v>
      </c>
      <c r="H13" s="3" t="s">
        <v>274</v>
      </c>
    </row>
    <row r="14" spans="1:8">
      <c r="A14" s="24" t="s">
        <v>1014</v>
      </c>
      <c r="B14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Ark17">
    <tabColor theme="7" tint="0.39997558519241921"/>
  </sheetPr>
  <dimension ref="A1:H17"/>
  <sheetViews>
    <sheetView topLeftCell="K1" workbookViewId="0">
      <selection activeCell="AD35" sqref="AD35"/>
    </sheetView>
  </sheetViews>
  <sheetFormatPr defaultRowHeight="15"/>
  <cols>
    <col min="1" max="1" width="15.7109375" bestFit="1" customWidth="1"/>
    <col min="2" max="8" width="14" customWidth="1"/>
  </cols>
  <sheetData>
    <row r="1" spans="1:8">
      <c r="A1" t="s">
        <v>470</v>
      </c>
    </row>
    <row r="3" spans="1:8">
      <c r="A3" s="2" t="s">
        <v>449</v>
      </c>
      <c r="B3" s="3" t="s">
        <v>450</v>
      </c>
      <c r="C3" s="3" t="s">
        <v>450</v>
      </c>
      <c r="D3" s="3" t="s">
        <v>450</v>
      </c>
      <c r="E3" s="3" t="s">
        <v>450</v>
      </c>
      <c r="F3" s="3" t="s">
        <v>450</v>
      </c>
      <c r="G3" s="3" t="s">
        <v>450</v>
      </c>
      <c r="H3" s="3" t="s">
        <v>450</v>
      </c>
    </row>
    <row r="4" spans="1:8">
      <c r="A4" s="2" t="s">
        <v>188</v>
      </c>
      <c r="B4" s="4">
        <v>202</v>
      </c>
      <c r="C4" s="4">
        <v>202</v>
      </c>
      <c r="D4" s="4">
        <v>202</v>
      </c>
      <c r="E4" s="4">
        <v>202</v>
      </c>
      <c r="F4" s="4">
        <v>202</v>
      </c>
      <c r="G4" s="4">
        <v>202</v>
      </c>
      <c r="H4" s="4">
        <v>202</v>
      </c>
    </row>
    <row r="5" spans="1:8">
      <c r="A5" s="2" t="s">
        <v>185</v>
      </c>
      <c r="B5" s="4">
        <v>10</v>
      </c>
      <c r="C5" s="4">
        <v>10</v>
      </c>
      <c r="D5" s="4">
        <v>10</v>
      </c>
      <c r="E5" s="4">
        <v>10</v>
      </c>
      <c r="F5" s="4">
        <v>10</v>
      </c>
      <c r="G5" s="4">
        <v>10</v>
      </c>
      <c r="H5" s="4">
        <v>50</v>
      </c>
    </row>
    <row r="6" spans="1:8">
      <c r="A6" s="2" t="s">
        <v>451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</row>
    <row r="7" spans="1:8">
      <c r="A7" s="2" t="s">
        <v>452</v>
      </c>
      <c r="B7" s="4">
        <v>1920</v>
      </c>
      <c r="C7" s="4">
        <v>1000</v>
      </c>
      <c r="D7" s="4">
        <v>300</v>
      </c>
      <c r="E7" s="4">
        <v>300</v>
      </c>
      <c r="F7" s="4">
        <v>280</v>
      </c>
      <c r="G7" s="4">
        <v>150</v>
      </c>
      <c r="H7" s="4">
        <v>100</v>
      </c>
    </row>
    <row r="8" spans="1:8">
      <c r="A8" s="2" t="s">
        <v>453</v>
      </c>
      <c r="B8" s="4">
        <v>360</v>
      </c>
      <c r="C8" s="4">
        <v>200</v>
      </c>
      <c r="D8" s="4">
        <v>100</v>
      </c>
      <c r="E8" s="4">
        <v>100</v>
      </c>
      <c r="F8" s="4">
        <v>80</v>
      </c>
      <c r="G8" s="4">
        <v>30</v>
      </c>
      <c r="H8" s="4">
        <v>20</v>
      </c>
    </row>
    <row r="9" spans="1:8">
      <c r="A9" s="2" t="s">
        <v>454</v>
      </c>
      <c r="B9" s="4">
        <v>3840</v>
      </c>
      <c r="C9" s="4">
        <v>2000</v>
      </c>
      <c r="D9" s="4">
        <v>600</v>
      </c>
      <c r="E9" s="4">
        <v>600</v>
      </c>
      <c r="F9" s="4">
        <v>560</v>
      </c>
      <c r="G9" s="4">
        <v>300</v>
      </c>
      <c r="H9" s="4">
        <v>200</v>
      </c>
    </row>
    <row r="10" spans="1:8">
      <c r="A10" s="2" t="s">
        <v>455</v>
      </c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</row>
    <row r="11" spans="1:8">
      <c r="A11" s="2" t="s">
        <v>456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</row>
    <row r="12" spans="1:8">
      <c r="A12" s="2" t="s">
        <v>457</v>
      </c>
      <c r="B12" s="3" t="s">
        <v>231</v>
      </c>
      <c r="C12" s="3" t="s">
        <v>458</v>
      </c>
      <c r="D12" s="3" t="s">
        <v>231</v>
      </c>
      <c r="E12" s="3" t="s">
        <v>231</v>
      </c>
      <c r="F12" s="3" t="s">
        <v>392</v>
      </c>
      <c r="G12" s="3" t="s">
        <v>231</v>
      </c>
      <c r="H12" s="3" t="s">
        <v>231</v>
      </c>
    </row>
    <row r="13" spans="1:8">
      <c r="A13" s="2" t="s">
        <v>459</v>
      </c>
      <c r="B13" s="3" t="s">
        <v>284</v>
      </c>
      <c r="C13" s="3" t="s">
        <v>284</v>
      </c>
      <c r="D13" s="3" t="s">
        <v>284</v>
      </c>
      <c r="E13" s="3" t="s">
        <v>284</v>
      </c>
      <c r="F13" s="3" t="s">
        <v>284</v>
      </c>
      <c r="G13" s="3" t="s">
        <v>284</v>
      </c>
      <c r="H13" s="3" t="s">
        <v>284</v>
      </c>
    </row>
    <row r="14" spans="1:8">
      <c r="A14" s="2" t="s">
        <v>460</v>
      </c>
      <c r="B14" s="3" t="s">
        <v>284</v>
      </c>
      <c r="C14" s="3" t="s">
        <v>284</v>
      </c>
      <c r="D14" s="3" t="s">
        <v>284</v>
      </c>
      <c r="E14" s="3" t="s">
        <v>284</v>
      </c>
      <c r="F14" s="3" t="s">
        <v>284</v>
      </c>
      <c r="G14" s="3" t="s">
        <v>284</v>
      </c>
      <c r="H14" s="3" t="s">
        <v>284</v>
      </c>
    </row>
    <row r="15" spans="1:8">
      <c r="A15" s="2" t="s">
        <v>96</v>
      </c>
      <c r="B15" s="3" t="s">
        <v>256</v>
      </c>
      <c r="C15" s="3" t="s">
        <v>256</v>
      </c>
      <c r="D15" s="3" t="s">
        <v>256</v>
      </c>
      <c r="E15" s="3" t="s">
        <v>256</v>
      </c>
      <c r="F15" s="3" t="s">
        <v>256</v>
      </c>
      <c r="G15" s="3" t="s">
        <v>256</v>
      </c>
      <c r="H15" s="3" t="s">
        <v>256</v>
      </c>
    </row>
    <row r="16" spans="1:8">
      <c r="A16" s="2" t="s">
        <v>95</v>
      </c>
      <c r="B16" s="3" t="s">
        <v>461</v>
      </c>
      <c r="C16" s="3" t="s">
        <v>462</v>
      </c>
      <c r="D16" s="3" t="s">
        <v>463</v>
      </c>
      <c r="E16" s="3" t="s">
        <v>464</v>
      </c>
      <c r="F16" s="3" t="s">
        <v>465</v>
      </c>
      <c r="G16" s="3" t="s">
        <v>466</v>
      </c>
      <c r="H16" s="3" t="s">
        <v>467</v>
      </c>
    </row>
    <row r="17" spans="1:8">
      <c r="A17" s="2" t="s">
        <v>97</v>
      </c>
      <c r="B17" s="3" t="s">
        <v>257</v>
      </c>
      <c r="C17" s="3" t="s">
        <v>468</v>
      </c>
      <c r="D17" s="3" t="s">
        <v>468</v>
      </c>
      <c r="E17" s="3" t="s">
        <v>468</v>
      </c>
      <c r="F17" s="3" t="s">
        <v>469</v>
      </c>
      <c r="G17" s="3" t="s">
        <v>257</v>
      </c>
      <c r="H17" s="3" t="s">
        <v>257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Ark18">
    <tabColor theme="7" tint="0.39997558519241921"/>
  </sheetPr>
  <dimension ref="A1:F3"/>
  <sheetViews>
    <sheetView workbookViewId="0">
      <selection activeCell="G41" sqref="G41"/>
    </sheetView>
  </sheetViews>
  <sheetFormatPr defaultRowHeight="15"/>
  <cols>
    <col min="1" max="1" width="14.28515625" bestFit="1" customWidth="1"/>
    <col min="2" max="6" width="12.5703125" customWidth="1"/>
  </cols>
  <sheetData>
    <row r="1" spans="1:6">
      <c r="A1" t="s">
        <v>471</v>
      </c>
    </row>
    <row r="3" spans="1:6">
      <c r="A3" s="2" t="s">
        <v>172</v>
      </c>
      <c r="B3" s="3" t="s">
        <v>300</v>
      </c>
      <c r="C3" s="3" t="s">
        <v>301</v>
      </c>
      <c r="D3" s="3" t="s">
        <v>254</v>
      </c>
      <c r="E3" s="3" t="s">
        <v>255</v>
      </c>
      <c r="F3" s="3" t="s">
        <v>262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Ark19">
    <tabColor theme="7" tint="0.39997558519241921"/>
  </sheetPr>
  <dimension ref="A1:G31"/>
  <sheetViews>
    <sheetView workbookViewId="0">
      <selection activeCell="E38" sqref="E38"/>
    </sheetView>
  </sheetViews>
  <sheetFormatPr defaultRowHeight="15"/>
  <cols>
    <col min="1" max="1" width="17.5703125" bestFit="1" customWidth="1"/>
    <col min="2" max="7" width="21.7109375" customWidth="1"/>
  </cols>
  <sheetData>
    <row r="1" spans="1:7">
      <c r="A1" t="s">
        <v>511</v>
      </c>
    </row>
    <row r="3" spans="1:7">
      <c r="A3" s="2" t="s">
        <v>188</v>
      </c>
      <c r="B3" s="4">
        <v>52</v>
      </c>
      <c r="C3" s="4">
        <v>1052</v>
      </c>
      <c r="D3" s="4">
        <v>1052</v>
      </c>
      <c r="E3" s="4">
        <v>1052</v>
      </c>
      <c r="F3" s="4">
        <v>1052</v>
      </c>
      <c r="G3" s="4">
        <v>1052</v>
      </c>
    </row>
    <row r="4" spans="1:7">
      <c r="A4" s="2" t="s">
        <v>208</v>
      </c>
      <c r="B4" s="3" t="s">
        <v>472</v>
      </c>
      <c r="C4" s="3" t="s">
        <v>473</v>
      </c>
      <c r="D4" s="3" t="s">
        <v>474</v>
      </c>
      <c r="E4" s="3" t="s">
        <v>475</v>
      </c>
      <c r="F4" s="3" t="s">
        <v>476</v>
      </c>
      <c r="G4" s="3" t="s">
        <v>477</v>
      </c>
    </row>
    <row r="5" spans="1:7">
      <c r="A5" s="2" t="s">
        <v>478</v>
      </c>
      <c r="B5" s="3" t="s">
        <v>479</v>
      </c>
      <c r="C5" s="3" t="s">
        <v>480</v>
      </c>
      <c r="D5" s="3" t="s">
        <v>481</v>
      </c>
      <c r="E5" s="3" t="s">
        <v>482</v>
      </c>
      <c r="F5" s="3" t="s">
        <v>483</v>
      </c>
      <c r="G5" s="3" t="s">
        <v>484</v>
      </c>
    </row>
    <row r="6" spans="1:7">
      <c r="A6" s="2" t="s">
        <v>485</v>
      </c>
      <c r="B6" s="4">
        <v>0</v>
      </c>
      <c r="C6" s="4">
        <v>5</v>
      </c>
      <c r="D6" s="4">
        <v>5</v>
      </c>
      <c r="E6" s="4">
        <v>1</v>
      </c>
      <c r="F6" s="4">
        <v>2</v>
      </c>
      <c r="G6" s="4">
        <v>1</v>
      </c>
    </row>
    <row r="7" spans="1:7">
      <c r="A7" s="2" t="s">
        <v>486</v>
      </c>
      <c r="B7" s="4">
        <v>72</v>
      </c>
      <c r="C7" s="4">
        <v>5</v>
      </c>
      <c r="D7" s="4">
        <v>5</v>
      </c>
      <c r="E7" s="4">
        <v>1</v>
      </c>
      <c r="F7" s="4">
        <v>2</v>
      </c>
      <c r="G7" s="4">
        <v>1</v>
      </c>
    </row>
    <row r="8" spans="1:7">
      <c r="A8" s="2" t="s">
        <v>487</v>
      </c>
      <c r="B8" s="3" t="s">
        <v>488</v>
      </c>
      <c r="C8" s="3" t="s">
        <v>488</v>
      </c>
      <c r="D8" s="3" t="s">
        <v>488</v>
      </c>
      <c r="E8" s="3" t="s">
        <v>488</v>
      </c>
      <c r="F8" s="3" t="s">
        <v>488</v>
      </c>
      <c r="G8" s="3" t="s">
        <v>488</v>
      </c>
    </row>
    <row r="9" spans="1:7">
      <c r="A9" s="2" t="s">
        <v>489</v>
      </c>
      <c r="B9" s="3" t="s">
        <v>490</v>
      </c>
      <c r="C9" s="3" t="s">
        <v>491</v>
      </c>
      <c r="D9" s="3" t="s">
        <v>491</v>
      </c>
      <c r="E9" s="3" t="s">
        <v>491</v>
      </c>
      <c r="F9" s="3" t="s">
        <v>491</v>
      </c>
      <c r="G9" s="3" t="s">
        <v>491</v>
      </c>
    </row>
    <row r="10" spans="1:7">
      <c r="A10" s="2" t="s">
        <v>492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</row>
    <row r="11" spans="1:7">
      <c r="A11" s="2" t="s">
        <v>195</v>
      </c>
      <c r="B11" s="4">
        <v>910509341</v>
      </c>
      <c r="C11" s="4">
        <v>613528336</v>
      </c>
      <c r="D11" s="4">
        <v>613528365</v>
      </c>
      <c r="E11" s="4">
        <v>613528373</v>
      </c>
      <c r="F11" s="4">
        <v>613528383</v>
      </c>
      <c r="G11" s="4">
        <v>613528393</v>
      </c>
    </row>
    <row r="12" spans="1:7">
      <c r="A12" s="2" t="s">
        <v>196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</row>
    <row r="13" spans="1:7">
      <c r="A13" s="2" t="s">
        <v>24</v>
      </c>
      <c r="B13" s="4">
        <v>910509341</v>
      </c>
      <c r="C13" s="4">
        <v>613528336</v>
      </c>
      <c r="D13" s="4">
        <v>613528365</v>
      </c>
      <c r="E13" s="4">
        <v>613528373</v>
      </c>
      <c r="F13" s="4">
        <v>613528383</v>
      </c>
      <c r="G13" s="4">
        <v>613528393</v>
      </c>
    </row>
    <row r="14" spans="1:7">
      <c r="A14" s="2" t="s">
        <v>194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</row>
    <row r="15" spans="1:7">
      <c r="A15" s="2" t="s">
        <v>185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</row>
    <row r="16" spans="1:7">
      <c r="A16" s="2" t="s">
        <v>493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</row>
    <row r="17" spans="1:7">
      <c r="A17" s="2" t="s">
        <v>494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</row>
    <row r="18" spans="1:7">
      <c r="A18" s="2" t="s">
        <v>495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19" spans="1:7">
      <c r="A19" s="2" t="s">
        <v>496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</row>
    <row r="20" spans="1:7">
      <c r="A20" s="2" t="s">
        <v>497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</row>
    <row r="21" spans="1:7">
      <c r="A21" s="2" t="s">
        <v>498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</row>
    <row r="22" spans="1:7">
      <c r="A22" s="2" t="s">
        <v>499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</row>
    <row r="23" spans="1:7">
      <c r="A23" s="2" t="s">
        <v>500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</row>
    <row r="24" spans="1:7">
      <c r="A24" s="2" t="s">
        <v>501</v>
      </c>
      <c r="B24" s="4">
        <v>1</v>
      </c>
      <c r="C24" s="4">
        <v>1</v>
      </c>
      <c r="D24" s="4">
        <v>1</v>
      </c>
      <c r="E24" s="4">
        <v>1</v>
      </c>
      <c r="F24" s="4">
        <v>1</v>
      </c>
      <c r="G24" s="4">
        <v>1</v>
      </c>
    </row>
    <row r="25" spans="1:7">
      <c r="A25" s="2" t="s">
        <v>502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</row>
    <row r="26" spans="1:7">
      <c r="A26" s="2" t="s">
        <v>503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</row>
    <row r="27" spans="1:7">
      <c r="A27" s="2" t="s">
        <v>163</v>
      </c>
      <c r="B27" s="3" t="s">
        <v>504</v>
      </c>
      <c r="C27" s="3" t="s">
        <v>85</v>
      </c>
      <c r="D27" s="3" t="s">
        <v>85</v>
      </c>
      <c r="E27" s="3" t="s">
        <v>85</v>
      </c>
      <c r="F27" s="3" t="s">
        <v>85</v>
      </c>
      <c r="G27" s="3" t="s">
        <v>85</v>
      </c>
    </row>
    <row r="28" spans="1:7">
      <c r="A28" s="2" t="s">
        <v>505</v>
      </c>
      <c r="B28" s="3" t="s">
        <v>506</v>
      </c>
      <c r="C28" s="3" t="s">
        <v>506</v>
      </c>
      <c r="D28" s="3" t="s">
        <v>506</v>
      </c>
      <c r="E28" s="3" t="s">
        <v>506</v>
      </c>
      <c r="F28" s="3" t="s">
        <v>506</v>
      </c>
      <c r="G28" s="3" t="s">
        <v>506</v>
      </c>
    </row>
    <row r="29" spans="1:7">
      <c r="A29" s="2" t="s">
        <v>507</v>
      </c>
      <c r="B29" s="3" t="s">
        <v>506</v>
      </c>
      <c r="C29" s="3" t="s">
        <v>508</v>
      </c>
      <c r="D29" s="3" t="s">
        <v>508</v>
      </c>
      <c r="E29" s="3" t="s">
        <v>508</v>
      </c>
      <c r="F29" s="3" t="s">
        <v>508</v>
      </c>
      <c r="G29" s="3" t="s">
        <v>508</v>
      </c>
    </row>
    <row r="30" spans="1:7">
      <c r="A30" s="2" t="s">
        <v>509</v>
      </c>
      <c r="B30" s="3" t="s">
        <v>506</v>
      </c>
      <c r="C30" s="3" t="s">
        <v>506</v>
      </c>
      <c r="D30" s="3" t="s">
        <v>506</v>
      </c>
      <c r="E30" s="3" t="s">
        <v>506</v>
      </c>
      <c r="F30" s="3" t="s">
        <v>506</v>
      </c>
      <c r="G30" s="3" t="s">
        <v>506</v>
      </c>
    </row>
    <row r="31" spans="1:7">
      <c r="A31" s="2" t="s">
        <v>510</v>
      </c>
      <c r="B31" s="3" t="s">
        <v>506</v>
      </c>
      <c r="C31" s="3" t="s">
        <v>506</v>
      </c>
      <c r="D31" s="3" t="s">
        <v>506</v>
      </c>
      <c r="E31" s="3" t="s">
        <v>506</v>
      </c>
      <c r="F31" s="3" t="s">
        <v>506</v>
      </c>
      <c r="G31" s="3" t="s">
        <v>506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Ark20">
    <tabColor theme="7" tint="0.39997558519241921"/>
  </sheetPr>
  <dimension ref="A1:P9"/>
  <sheetViews>
    <sheetView topLeftCell="C1" workbookViewId="0">
      <selection activeCell="H38" sqref="H38"/>
    </sheetView>
  </sheetViews>
  <sheetFormatPr defaultRowHeight="15"/>
  <cols>
    <col min="1" max="1" width="13.28515625" bestFit="1" customWidth="1"/>
    <col min="2" max="16" width="17.42578125" customWidth="1"/>
  </cols>
  <sheetData>
    <row r="1" spans="1:16">
      <c r="A1" t="s">
        <v>518</v>
      </c>
    </row>
    <row r="3" spans="1:16">
      <c r="A3" s="2" t="s">
        <v>449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11</v>
      </c>
      <c r="N3" s="4">
        <v>11</v>
      </c>
      <c r="O3" s="4">
        <v>11</v>
      </c>
      <c r="P3" s="4">
        <v>11</v>
      </c>
    </row>
    <row r="4" spans="1:16">
      <c r="A4" s="2" t="s">
        <v>190</v>
      </c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10</v>
      </c>
      <c r="N4" s="4">
        <v>10</v>
      </c>
      <c r="O4" s="4">
        <v>10</v>
      </c>
      <c r="P4" s="4">
        <v>10</v>
      </c>
    </row>
    <row r="5" spans="1:16">
      <c r="A5" s="2" t="s">
        <v>439</v>
      </c>
      <c r="B5" s="4">
        <v>95292330</v>
      </c>
      <c r="C5" s="4">
        <v>92486032</v>
      </c>
      <c r="D5" s="4">
        <v>93845628</v>
      </c>
      <c r="E5" s="4">
        <v>94189500</v>
      </c>
      <c r="F5" s="4">
        <v>93323430</v>
      </c>
      <c r="G5" s="4">
        <v>90174556</v>
      </c>
      <c r="H5" s="4">
        <v>101334271</v>
      </c>
      <c r="I5" s="4">
        <v>96580704</v>
      </c>
      <c r="J5" s="4">
        <v>77757100</v>
      </c>
      <c r="K5" s="4">
        <v>80393440</v>
      </c>
      <c r="L5" s="4">
        <v>77207927</v>
      </c>
      <c r="M5" s="4">
        <v>2</v>
      </c>
      <c r="N5" s="4">
        <v>588</v>
      </c>
      <c r="O5" s="4">
        <v>5</v>
      </c>
      <c r="P5" s="4">
        <v>4</v>
      </c>
    </row>
    <row r="6" spans="1:16">
      <c r="A6" s="2" t="s">
        <v>512</v>
      </c>
      <c r="B6" s="3" t="s">
        <v>488</v>
      </c>
      <c r="C6" s="3" t="s">
        <v>488</v>
      </c>
      <c r="D6" s="3" t="s">
        <v>488</v>
      </c>
      <c r="E6" s="3" t="s">
        <v>488</v>
      </c>
      <c r="F6" s="3" t="s">
        <v>488</v>
      </c>
      <c r="G6" s="3" t="s">
        <v>488</v>
      </c>
      <c r="H6" s="3" t="s">
        <v>488</v>
      </c>
      <c r="I6" s="3" t="s">
        <v>488</v>
      </c>
      <c r="J6" s="3" t="s">
        <v>488</v>
      </c>
      <c r="K6" s="3" t="s">
        <v>488</v>
      </c>
      <c r="L6" s="3" t="s">
        <v>488</v>
      </c>
      <c r="M6" s="3" t="s">
        <v>488</v>
      </c>
      <c r="N6" s="3" t="s">
        <v>488</v>
      </c>
      <c r="O6" s="3" t="s">
        <v>488</v>
      </c>
      <c r="P6" s="3" t="s">
        <v>488</v>
      </c>
    </row>
    <row r="7" spans="1:16">
      <c r="A7" s="2" t="s">
        <v>96</v>
      </c>
      <c r="B7" s="3" t="s">
        <v>256</v>
      </c>
      <c r="C7" s="3" t="s">
        <v>256</v>
      </c>
      <c r="D7" s="3" t="s">
        <v>256</v>
      </c>
      <c r="E7" s="3" t="s">
        <v>256</v>
      </c>
      <c r="F7" s="3" t="s">
        <v>256</v>
      </c>
      <c r="G7" s="3" t="s">
        <v>256</v>
      </c>
      <c r="H7" s="3" t="s">
        <v>256</v>
      </c>
      <c r="I7" s="3" t="s">
        <v>256</v>
      </c>
      <c r="J7" s="3" t="s">
        <v>256</v>
      </c>
      <c r="K7" s="3" t="s">
        <v>256</v>
      </c>
      <c r="L7" s="3" t="s">
        <v>256</v>
      </c>
      <c r="M7" s="3" t="s">
        <v>256</v>
      </c>
      <c r="N7" s="3" t="s">
        <v>256</v>
      </c>
      <c r="O7" s="3" t="s">
        <v>256</v>
      </c>
      <c r="P7" s="3" t="s">
        <v>256</v>
      </c>
    </row>
    <row r="8" spans="1:16">
      <c r="A8" s="2" t="s">
        <v>95</v>
      </c>
      <c r="B8" s="3" t="s">
        <v>53</v>
      </c>
      <c r="C8" s="3" t="s">
        <v>53</v>
      </c>
      <c r="D8" s="3" t="s">
        <v>53</v>
      </c>
      <c r="E8" s="3" t="s">
        <v>53</v>
      </c>
      <c r="F8" s="3" t="s">
        <v>53</v>
      </c>
      <c r="G8" s="3" t="s">
        <v>53</v>
      </c>
      <c r="H8" s="3" t="s">
        <v>53</v>
      </c>
      <c r="I8" s="3" t="s">
        <v>53</v>
      </c>
      <c r="J8" s="3" t="s">
        <v>53</v>
      </c>
      <c r="K8" s="3" t="s">
        <v>53</v>
      </c>
      <c r="L8" s="3" t="s">
        <v>53</v>
      </c>
      <c r="M8" s="3" t="s">
        <v>513</v>
      </c>
      <c r="N8" s="3" t="s">
        <v>514</v>
      </c>
      <c r="O8" s="3" t="s">
        <v>515</v>
      </c>
      <c r="P8" s="3" t="s">
        <v>516</v>
      </c>
    </row>
    <row r="9" spans="1:16">
      <c r="A9" s="2" t="s">
        <v>517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  <c r="G9" s="3" t="s">
        <v>53</v>
      </c>
      <c r="H9" s="3" t="s">
        <v>53</v>
      </c>
      <c r="I9" s="3" t="s">
        <v>53</v>
      </c>
      <c r="J9" s="3" t="s">
        <v>53</v>
      </c>
      <c r="K9" s="3" t="s">
        <v>53</v>
      </c>
      <c r="L9" s="3" t="s">
        <v>53</v>
      </c>
      <c r="M9" s="3" t="s">
        <v>53</v>
      </c>
      <c r="N9" s="3" t="s">
        <v>53</v>
      </c>
      <c r="O9" s="3" t="s">
        <v>53</v>
      </c>
      <c r="P9" s="3" t="s">
        <v>53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Ark21">
    <tabColor theme="7" tint="0.39997558519241921"/>
  </sheetPr>
  <dimension ref="A1:H29"/>
  <sheetViews>
    <sheetView zoomScale="80" zoomScaleNormal="80" workbookViewId="0">
      <selection activeCell="C40" sqref="C40"/>
    </sheetView>
  </sheetViews>
  <sheetFormatPr defaultRowHeight="15"/>
  <cols>
    <col min="1" max="1" width="19.5703125" bestFit="1" customWidth="1"/>
    <col min="2" max="8" width="33.28515625" customWidth="1"/>
  </cols>
  <sheetData>
    <row r="1" spans="1:8">
      <c r="A1" t="s">
        <v>577</v>
      </c>
    </row>
    <row r="3" spans="1:8">
      <c r="A3" s="2" t="s">
        <v>9</v>
      </c>
      <c r="B3" s="3" t="s">
        <v>235</v>
      </c>
      <c r="C3" s="3" t="s">
        <v>236</v>
      </c>
      <c r="D3" s="3" t="s">
        <v>237</v>
      </c>
      <c r="E3" s="3" t="s">
        <v>519</v>
      </c>
      <c r="F3" s="3" t="s">
        <v>520</v>
      </c>
      <c r="G3" s="3" t="s">
        <v>429</v>
      </c>
      <c r="H3" s="3" t="s">
        <v>521</v>
      </c>
    </row>
    <row r="4" spans="1:8">
      <c r="A4" s="2" t="s">
        <v>402</v>
      </c>
      <c r="B4" s="4">
        <v>2</v>
      </c>
      <c r="C4" s="4">
        <v>1</v>
      </c>
      <c r="D4" s="4">
        <v>1</v>
      </c>
      <c r="E4" s="4">
        <v>2</v>
      </c>
      <c r="F4" s="4">
        <v>1</v>
      </c>
      <c r="G4" s="4">
        <v>1</v>
      </c>
      <c r="H4" s="4">
        <v>1</v>
      </c>
    </row>
    <row r="5" spans="1:8">
      <c r="A5" s="2" t="s">
        <v>522</v>
      </c>
      <c r="B5" s="3" t="s">
        <v>523</v>
      </c>
      <c r="C5" s="3" t="s">
        <v>524</v>
      </c>
      <c r="D5" s="3" t="s">
        <v>525</v>
      </c>
      <c r="E5" s="3" t="s">
        <v>526</v>
      </c>
      <c r="F5" s="3" t="s">
        <v>527</v>
      </c>
      <c r="G5" s="3" t="s">
        <v>528</v>
      </c>
      <c r="H5" s="3" t="s">
        <v>529</v>
      </c>
    </row>
    <row r="6" spans="1:8">
      <c r="A6" s="2" t="s">
        <v>530</v>
      </c>
      <c r="B6" s="3" t="s">
        <v>488</v>
      </c>
      <c r="C6" s="3" t="s">
        <v>488</v>
      </c>
      <c r="D6" s="3" t="s">
        <v>488</v>
      </c>
      <c r="E6" s="3" t="s">
        <v>488</v>
      </c>
      <c r="F6" s="3" t="s">
        <v>488</v>
      </c>
      <c r="G6" s="3" t="s">
        <v>488</v>
      </c>
      <c r="H6" s="3" t="s">
        <v>488</v>
      </c>
    </row>
    <row r="7" spans="1:8">
      <c r="A7" s="2" t="s">
        <v>531</v>
      </c>
      <c r="B7" s="3" t="s">
        <v>488</v>
      </c>
      <c r="C7" s="3" t="s">
        <v>488</v>
      </c>
      <c r="D7" s="3" t="s">
        <v>488</v>
      </c>
      <c r="E7" s="3" t="s">
        <v>488</v>
      </c>
      <c r="F7" s="3" t="s">
        <v>488</v>
      </c>
      <c r="G7" s="3" t="s">
        <v>488</v>
      </c>
      <c r="H7" s="3" t="s">
        <v>488</v>
      </c>
    </row>
    <row r="8" spans="1:8">
      <c r="A8" s="2" t="s">
        <v>532</v>
      </c>
      <c r="B8" s="3" t="s">
        <v>488</v>
      </c>
      <c r="C8" s="3" t="s">
        <v>488</v>
      </c>
      <c r="D8" s="3" t="s">
        <v>488</v>
      </c>
      <c r="E8" s="3" t="s">
        <v>488</v>
      </c>
      <c r="F8" s="3" t="s">
        <v>488</v>
      </c>
      <c r="G8" s="3" t="s">
        <v>488</v>
      </c>
      <c r="H8" s="3" t="s">
        <v>488</v>
      </c>
    </row>
    <row r="9" spans="1:8" ht="30">
      <c r="A9" s="2" t="s">
        <v>164</v>
      </c>
      <c r="B9" s="3" t="s">
        <v>533</v>
      </c>
      <c r="C9" s="3" t="s">
        <v>533</v>
      </c>
      <c r="D9" s="3" t="s">
        <v>533</v>
      </c>
      <c r="E9" s="3" t="s">
        <v>533</v>
      </c>
      <c r="F9" s="3" t="s">
        <v>533</v>
      </c>
      <c r="G9" s="3" t="s">
        <v>533</v>
      </c>
      <c r="H9" s="3" t="s">
        <v>533</v>
      </c>
    </row>
    <row r="10" spans="1:8">
      <c r="A10" s="2" t="s">
        <v>96</v>
      </c>
      <c r="B10" s="3" t="s">
        <v>256</v>
      </c>
      <c r="C10" s="3" t="s">
        <v>256</v>
      </c>
      <c r="D10" s="3" t="s">
        <v>256</v>
      </c>
      <c r="E10" s="3" t="s">
        <v>256</v>
      </c>
      <c r="F10" s="3" t="s">
        <v>256</v>
      </c>
      <c r="G10" s="3" t="s">
        <v>256</v>
      </c>
      <c r="H10" s="3" t="s">
        <v>256</v>
      </c>
    </row>
    <row r="11" spans="1:8">
      <c r="A11" s="2" t="s">
        <v>95</v>
      </c>
      <c r="B11" s="3" t="s">
        <v>534</v>
      </c>
      <c r="C11" s="3" t="s">
        <v>535</v>
      </c>
      <c r="D11" s="3" t="s">
        <v>536</v>
      </c>
      <c r="E11" s="3" t="s">
        <v>537</v>
      </c>
      <c r="F11" s="3" t="s">
        <v>538</v>
      </c>
      <c r="G11" s="3" t="s">
        <v>539</v>
      </c>
      <c r="H11" s="3" t="s">
        <v>540</v>
      </c>
    </row>
    <row r="12" spans="1:8">
      <c r="A12" s="2" t="s">
        <v>97</v>
      </c>
      <c r="B12" s="3" t="s">
        <v>257</v>
      </c>
      <c r="C12" s="3" t="s">
        <v>257</v>
      </c>
      <c r="D12" s="3" t="s">
        <v>257</v>
      </c>
      <c r="E12" s="3" t="s">
        <v>257</v>
      </c>
      <c r="F12" s="3" t="s">
        <v>468</v>
      </c>
      <c r="G12" s="3" t="s">
        <v>257</v>
      </c>
      <c r="H12" s="3" t="s">
        <v>257</v>
      </c>
    </row>
    <row r="13" spans="1:8">
      <c r="A13" s="2" t="s">
        <v>439</v>
      </c>
      <c r="B13" s="4">
        <v>1</v>
      </c>
      <c r="C13" s="4">
        <v>3</v>
      </c>
      <c r="D13" s="4">
        <v>1</v>
      </c>
      <c r="E13" s="4">
        <v>3</v>
      </c>
      <c r="F13" s="4">
        <v>3</v>
      </c>
      <c r="G13" s="4">
        <v>400</v>
      </c>
      <c r="H13" s="4">
        <v>2200</v>
      </c>
    </row>
    <row r="14" spans="1:8">
      <c r="A14" s="2" t="s">
        <v>208</v>
      </c>
      <c r="B14" s="3" t="s">
        <v>231</v>
      </c>
      <c r="C14" s="3" t="s">
        <v>231</v>
      </c>
      <c r="D14" s="3" t="s">
        <v>231</v>
      </c>
      <c r="E14" s="3" t="s">
        <v>231</v>
      </c>
      <c r="F14" s="3" t="s">
        <v>231</v>
      </c>
      <c r="G14" s="3" t="s">
        <v>231</v>
      </c>
      <c r="H14" s="3" t="s">
        <v>231</v>
      </c>
    </row>
    <row r="15" spans="1:8">
      <c r="A15" s="2" t="s">
        <v>517</v>
      </c>
      <c r="B15" s="3" t="s">
        <v>541</v>
      </c>
      <c r="C15" s="3" t="s">
        <v>541</v>
      </c>
      <c r="D15" s="3" t="s">
        <v>541</v>
      </c>
      <c r="E15" s="3" t="s">
        <v>541</v>
      </c>
      <c r="F15" s="3" t="s">
        <v>541</v>
      </c>
      <c r="G15" s="3" t="s">
        <v>541</v>
      </c>
      <c r="H15" s="3" t="s">
        <v>541</v>
      </c>
    </row>
    <row r="16" spans="1:8">
      <c r="A16" s="2" t="s">
        <v>542</v>
      </c>
      <c r="B16" s="3" t="s">
        <v>53</v>
      </c>
      <c r="C16" s="3" t="s">
        <v>543</v>
      </c>
      <c r="D16" s="3" t="s">
        <v>544</v>
      </c>
      <c r="E16" s="3" t="s">
        <v>53</v>
      </c>
      <c r="F16" s="3" t="s">
        <v>545</v>
      </c>
      <c r="G16" s="3" t="s">
        <v>53</v>
      </c>
      <c r="H16" s="3" t="s">
        <v>546</v>
      </c>
    </row>
    <row r="17" spans="1:8">
      <c r="A17" s="2" t="s">
        <v>547</v>
      </c>
      <c r="B17" s="3" t="s">
        <v>250</v>
      </c>
      <c r="C17" s="3" t="s">
        <v>251</v>
      </c>
      <c r="D17" s="3" t="s">
        <v>252</v>
      </c>
      <c r="E17" s="3" t="s">
        <v>548</v>
      </c>
      <c r="F17" s="3" t="s">
        <v>549</v>
      </c>
      <c r="G17" s="3" t="s">
        <v>440</v>
      </c>
      <c r="H17" s="3" t="s">
        <v>550</v>
      </c>
    </row>
    <row r="18" spans="1:8">
      <c r="A18" s="2" t="s">
        <v>551</v>
      </c>
      <c r="B18" s="3" t="s">
        <v>552</v>
      </c>
      <c r="C18" s="3" t="s">
        <v>553</v>
      </c>
      <c r="D18" s="3" t="s">
        <v>554</v>
      </c>
      <c r="E18" s="3" t="s">
        <v>555</v>
      </c>
      <c r="F18" s="3" t="s">
        <v>556</v>
      </c>
      <c r="G18" s="3" t="s">
        <v>557</v>
      </c>
      <c r="H18" s="3" t="s">
        <v>558</v>
      </c>
    </row>
    <row r="19" spans="1:8">
      <c r="A19" s="2" t="s">
        <v>559</v>
      </c>
      <c r="B19" s="3" t="s">
        <v>290</v>
      </c>
      <c r="C19" s="3" t="s">
        <v>290</v>
      </c>
      <c r="D19" s="3" t="s">
        <v>290</v>
      </c>
      <c r="E19" s="3" t="s">
        <v>290</v>
      </c>
      <c r="F19" s="3" t="s">
        <v>290</v>
      </c>
      <c r="G19" s="3" t="s">
        <v>440</v>
      </c>
      <c r="H19" s="3" t="s">
        <v>550</v>
      </c>
    </row>
    <row r="20" spans="1:8">
      <c r="A20" s="2" t="s">
        <v>560</v>
      </c>
      <c r="B20" s="3" t="s">
        <v>290</v>
      </c>
      <c r="C20" s="3" t="s">
        <v>290</v>
      </c>
      <c r="D20" s="3" t="s">
        <v>290</v>
      </c>
      <c r="E20" s="3" t="s">
        <v>290</v>
      </c>
      <c r="F20" s="3" t="s">
        <v>290</v>
      </c>
      <c r="G20" s="3" t="s">
        <v>290</v>
      </c>
      <c r="H20" s="3" t="s">
        <v>290</v>
      </c>
    </row>
    <row r="21" spans="1:8">
      <c r="A21" s="2" t="s">
        <v>561</v>
      </c>
      <c r="B21" s="3" t="s">
        <v>290</v>
      </c>
      <c r="C21" s="3" t="s">
        <v>290</v>
      </c>
      <c r="D21" s="3" t="s">
        <v>290</v>
      </c>
      <c r="E21" s="3" t="s">
        <v>290</v>
      </c>
      <c r="F21" s="3" t="s">
        <v>290</v>
      </c>
      <c r="G21" s="3" t="s">
        <v>290</v>
      </c>
      <c r="H21" s="3" t="s">
        <v>290</v>
      </c>
    </row>
    <row r="22" spans="1:8">
      <c r="A22" s="2" t="s">
        <v>562</v>
      </c>
      <c r="B22" s="3" t="s">
        <v>563</v>
      </c>
      <c r="C22" s="3" t="s">
        <v>564</v>
      </c>
      <c r="D22" s="3" t="s">
        <v>565</v>
      </c>
      <c r="E22" s="3" t="s">
        <v>566</v>
      </c>
      <c r="F22" s="3" t="s">
        <v>567</v>
      </c>
      <c r="G22" s="3" t="s">
        <v>568</v>
      </c>
      <c r="H22" s="3" t="s">
        <v>569</v>
      </c>
    </row>
    <row r="23" spans="1:8">
      <c r="A23" s="2" t="s">
        <v>570</v>
      </c>
      <c r="B23" s="4">
        <v>14</v>
      </c>
      <c r="C23" s="4">
        <v>10</v>
      </c>
      <c r="D23" s="4">
        <v>10</v>
      </c>
      <c r="E23" s="4">
        <v>3</v>
      </c>
      <c r="F23" s="4">
        <v>39</v>
      </c>
      <c r="G23" s="4">
        <v>8</v>
      </c>
      <c r="H23" s="4">
        <v>5</v>
      </c>
    </row>
    <row r="24" spans="1:8">
      <c r="A24" s="2" t="s">
        <v>571</v>
      </c>
      <c r="B24" s="3" t="s">
        <v>241</v>
      </c>
      <c r="C24" s="3" t="s">
        <v>241</v>
      </c>
      <c r="D24" s="3" t="s">
        <v>241</v>
      </c>
      <c r="E24" s="3" t="s">
        <v>241</v>
      </c>
      <c r="F24" s="3" t="s">
        <v>241</v>
      </c>
      <c r="G24" s="3" t="s">
        <v>241</v>
      </c>
      <c r="H24" s="3" t="s">
        <v>241</v>
      </c>
    </row>
    <row r="25" spans="1:8">
      <c r="A25" s="2" t="s">
        <v>572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</row>
    <row r="26" spans="1:8">
      <c r="A26" s="2" t="s">
        <v>573</v>
      </c>
      <c r="B26" s="3" t="s">
        <v>231</v>
      </c>
      <c r="C26" s="3" t="s">
        <v>231</v>
      </c>
      <c r="D26" s="3" t="s">
        <v>231</v>
      </c>
      <c r="E26" s="3" t="s">
        <v>231</v>
      </c>
      <c r="F26" s="3" t="s">
        <v>231</v>
      </c>
      <c r="G26" s="3" t="s">
        <v>231</v>
      </c>
      <c r="H26" s="3" t="s">
        <v>231</v>
      </c>
    </row>
    <row r="27" spans="1:8">
      <c r="A27" s="2" t="s">
        <v>574</v>
      </c>
      <c r="B27" s="3" t="s">
        <v>53</v>
      </c>
      <c r="C27" s="3" t="s">
        <v>53</v>
      </c>
      <c r="D27" s="3" t="s">
        <v>53</v>
      </c>
      <c r="E27" s="3" t="s">
        <v>53</v>
      </c>
      <c r="F27" s="3" t="s">
        <v>53</v>
      </c>
      <c r="G27" s="3" t="s">
        <v>53</v>
      </c>
      <c r="H27" s="3" t="s">
        <v>53</v>
      </c>
    </row>
    <row r="28" spans="1:8">
      <c r="A28" s="2" t="s">
        <v>575</v>
      </c>
      <c r="B28" s="3" t="s">
        <v>53</v>
      </c>
      <c r="C28" s="3" t="s">
        <v>53</v>
      </c>
      <c r="D28" s="3" t="s">
        <v>53</v>
      </c>
      <c r="E28" s="3" t="s">
        <v>53</v>
      </c>
      <c r="F28" s="3" t="s">
        <v>53</v>
      </c>
      <c r="G28" s="3" t="s">
        <v>53</v>
      </c>
      <c r="H28" s="3" t="s">
        <v>53</v>
      </c>
    </row>
    <row r="29" spans="1:8">
      <c r="A29" s="2" t="s">
        <v>576</v>
      </c>
      <c r="B29" s="3" t="s">
        <v>53</v>
      </c>
      <c r="C29" s="3" t="s">
        <v>53</v>
      </c>
      <c r="D29" s="3" t="s">
        <v>53</v>
      </c>
      <c r="E29" s="3" t="s">
        <v>53</v>
      </c>
      <c r="F29" s="3" t="s">
        <v>53</v>
      </c>
      <c r="G29" s="3" t="s">
        <v>53</v>
      </c>
      <c r="H29" s="3" t="s">
        <v>53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Ark22">
    <tabColor theme="7" tint="0.39997558519241921"/>
  </sheetPr>
  <dimension ref="A1:H22"/>
  <sheetViews>
    <sheetView workbookViewId="0">
      <selection activeCell="F38" sqref="F38"/>
    </sheetView>
  </sheetViews>
  <sheetFormatPr defaultRowHeight="15"/>
  <cols>
    <col min="1" max="1" width="23.28515625" bestFit="1" customWidth="1"/>
    <col min="2" max="8" width="22.140625" customWidth="1"/>
  </cols>
  <sheetData>
    <row r="1" spans="1:8">
      <c r="A1" t="s">
        <v>607</v>
      </c>
    </row>
    <row r="3" spans="1:8">
      <c r="A3" s="2" t="s">
        <v>207</v>
      </c>
      <c r="B3" s="3" t="s">
        <v>578</v>
      </c>
      <c r="C3" s="3" t="s">
        <v>579</v>
      </c>
      <c r="D3" s="3" t="s">
        <v>580</v>
      </c>
      <c r="E3" s="3" t="s">
        <v>581</v>
      </c>
      <c r="F3" s="3" t="s">
        <v>582</v>
      </c>
      <c r="G3" s="3" t="s">
        <v>583</v>
      </c>
      <c r="H3" s="3" t="s">
        <v>584</v>
      </c>
    </row>
    <row r="4" spans="1:8">
      <c r="A4" s="2" t="s">
        <v>585</v>
      </c>
      <c r="B4" s="3" t="s">
        <v>53</v>
      </c>
      <c r="C4" s="3" t="s">
        <v>53</v>
      </c>
      <c r="D4" s="3" t="s">
        <v>53</v>
      </c>
      <c r="E4" s="3" t="s">
        <v>53</v>
      </c>
      <c r="F4" s="3" t="s">
        <v>53</v>
      </c>
      <c r="G4" s="3" t="s">
        <v>53</v>
      </c>
      <c r="H4" s="3" t="s">
        <v>53</v>
      </c>
    </row>
    <row r="5" spans="1:8">
      <c r="A5" s="2" t="s">
        <v>586</v>
      </c>
      <c r="B5" s="3" t="s">
        <v>587</v>
      </c>
      <c r="C5" s="3" t="s">
        <v>588</v>
      </c>
      <c r="D5" s="3" t="s">
        <v>589</v>
      </c>
      <c r="E5" s="3" t="s">
        <v>590</v>
      </c>
      <c r="F5" s="3" t="s">
        <v>591</v>
      </c>
      <c r="G5" s="3" t="s">
        <v>592</v>
      </c>
      <c r="H5" s="3" t="s">
        <v>593</v>
      </c>
    </row>
    <row r="6" spans="1:8">
      <c r="A6" s="2" t="s">
        <v>594</v>
      </c>
      <c r="B6" s="3" t="s">
        <v>232</v>
      </c>
      <c r="C6" s="3" t="s">
        <v>232</v>
      </c>
      <c r="D6" s="3" t="s">
        <v>232</v>
      </c>
      <c r="E6" s="3" t="s">
        <v>232</v>
      </c>
      <c r="F6" s="3" t="s">
        <v>232</v>
      </c>
      <c r="G6" s="3" t="s">
        <v>232</v>
      </c>
      <c r="H6" s="3" t="s">
        <v>232</v>
      </c>
    </row>
    <row r="7" spans="1:8">
      <c r="A7" s="2" t="s">
        <v>423</v>
      </c>
      <c r="B7" s="3" t="s">
        <v>595</v>
      </c>
      <c r="C7" s="3" t="s">
        <v>595</v>
      </c>
      <c r="D7" s="3" t="s">
        <v>595</v>
      </c>
      <c r="E7" s="3" t="s">
        <v>595</v>
      </c>
      <c r="F7" s="3" t="s">
        <v>595</v>
      </c>
      <c r="G7" s="3" t="s">
        <v>595</v>
      </c>
      <c r="H7" s="3" t="s">
        <v>595</v>
      </c>
    </row>
    <row r="8" spans="1:8">
      <c r="A8" s="2" t="s">
        <v>29</v>
      </c>
      <c r="B8" s="3" t="s">
        <v>88</v>
      </c>
      <c r="C8" s="3" t="s">
        <v>88</v>
      </c>
      <c r="D8" s="3" t="s">
        <v>88</v>
      </c>
      <c r="E8" s="3" t="s">
        <v>61</v>
      </c>
      <c r="F8" s="3" t="s">
        <v>76</v>
      </c>
      <c r="G8" s="3" t="s">
        <v>76</v>
      </c>
      <c r="H8" s="3" t="s">
        <v>76</v>
      </c>
    </row>
    <row r="9" spans="1:8">
      <c r="A9" s="2" t="s">
        <v>36</v>
      </c>
      <c r="B9" s="3" t="s">
        <v>53</v>
      </c>
      <c r="C9" s="3" t="s">
        <v>53</v>
      </c>
      <c r="D9" s="3" t="s">
        <v>53</v>
      </c>
      <c r="E9" s="3" t="s">
        <v>53</v>
      </c>
      <c r="F9" s="3" t="s">
        <v>53</v>
      </c>
      <c r="G9" s="3" t="s">
        <v>53</v>
      </c>
      <c r="H9" s="3" t="s">
        <v>53</v>
      </c>
    </row>
    <row r="10" spans="1:8">
      <c r="A10" s="2" t="s">
        <v>596</v>
      </c>
      <c r="B10" s="3" t="s">
        <v>231</v>
      </c>
      <c r="C10" s="3" t="s">
        <v>231</v>
      </c>
      <c r="D10" s="3" t="s">
        <v>231</v>
      </c>
      <c r="E10" s="3" t="s">
        <v>231</v>
      </c>
      <c r="F10" s="3" t="s">
        <v>231</v>
      </c>
      <c r="G10" s="3" t="s">
        <v>231</v>
      </c>
      <c r="H10" s="3" t="s">
        <v>231</v>
      </c>
    </row>
    <row r="11" spans="1:8">
      <c r="A11" s="2" t="s">
        <v>597</v>
      </c>
      <c r="B11" s="3" t="s">
        <v>53</v>
      </c>
      <c r="C11" s="3" t="s">
        <v>53</v>
      </c>
      <c r="D11" s="3" t="s">
        <v>53</v>
      </c>
      <c r="E11" s="3" t="s">
        <v>53</v>
      </c>
      <c r="F11" s="3" t="s">
        <v>53</v>
      </c>
      <c r="G11" s="3" t="s">
        <v>53</v>
      </c>
      <c r="H11" s="3" t="s">
        <v>53</v>
      </c>
    </row>
    <row r="12" spans="1:8">
      <c r="A12" s="2" t="s">
        <v>598</v>
      </c>
      <c r="B12" s="3" t="s">
        <v>53</v>
      </c>
      <c r="C12" s="3" t="s">
        <v>53</v>
      </c>
      <c r="D12" s="3" t="s">
        <v>53</v>
      </c>
      <c r="E12" s="3" t="s">
        <v>53</v>
      </c>
      <c r="F12" s="3" t="s">
        <v>53</v>
      </c>
      <c r="G12" s="3" t="s">
        <v>53</v>
      </c>
      <c r="H12" s="3" t="s">
        <v>53</v>
      </c>
    </row>
    <row r="13" spans="1:8">
      <c r="A13" s="2" t="s">
        <v>599</v>
      </c>
      <c r="B13" s="3" t="s">
        <v>53</v>
      </c>
      <c r="C13" s="3" t="s">
        <v>53</v>
      </c>
      <c r="D13" s="3" t="s">
        <v>53</v>
      </c>
      <c r="E13" s="3" t="s">
        <v>53</v>
      </c>
      <c r="F13" s="3" t="s">
        <v>53</v>
      </c>
      <c r="G13" s="3" t="s">
        <v>53</v>
      </c>
      <c r="H13" s="3" t="s">
        <v>53</v>
      </c>
    </row>
    <row r="14" spans="1:8">
      <c r="A14" s="2" t="s">
        <v>600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  <c r="G14" s="3" t="s">
        <v>601</v>
      </c>
      <c r="H14" s="3" t="s">
        <v>53</v>
      </c>
    </row>
    <row r="15" spans="1:8">
      <c r="A15" s="2" t="s">
        <v>602</v>
      </c>
      <c r="B15" s="3" t="s">
        <v>53</v>
      </c>
      <c r="C15" s="3" t="s">
        <v>53</v>
      </c>
      <c r="D15" s="3" t="s">
        <v>53</v>
      </c>
      <c r="E15" s="3" t="s">
        <v>53</v>
      </c>
      <c r="F15" s="3" t="s">
        <v>53</v>
      </c>
      <c r="G15" s="3" t="s">
        <v>53</v>
      </c>
      <c r="H15" s="3" t="s">
        <v>53</v>
      </c>
    </row>
    <row r="16" spans="1:8">
      <c r="A16" s="2" t="s">
        <v>603</v>
      </c>
      <c r="B16" s="3" t="s">
        <v>53</v>
      </c>
      <c r="C16" s="3" t="s">
        <v>53</v>
      </c>
      <c r="D16" s="3" t="s">
        <v>53</v>
      </c>
      <c r="E16" s="3" t="s">
        <v>53</v>
      </c>
      <c r="F16" s="3" t="s">
        <v>53</v>
      </c>
      <c r="G16" s="3" t="s">
        <v>53</v>
      </c>
      <c r="H16" s="3" t="s">
        <v>53</v>
      </c>
    </row>
    <row r="17" spans="1:8">
      <c r="A17" s="2" t="s">
        <v>604</v>
      </c>
      <c r="B17" s="3" t="s">
        <v>88</v>
      </c>
      <c r="C17" s="3" t="s">
        <v>88</v>
      </c>
      <c r="D17" s="3" t="s">
        <v>88</v>
      </c>
      <c r="E17" s="3" t="s">
        <v>61</v>
      </c>
      <c r="F17" s="3" t="s">
        <v>76</v>
      </c>
      <c r="G17" s="3" t="s">
        <v>76</v>
      </c>
      <c r="H17" s="3" t="s">
        <v>76</v>
      </c>
    </row>
    <row r="18" spans="1:8">
      <c r="A18" s="2" t="s">
        <v>35</v>
      </c>
      <c r="B18" s="3" t="s">
        <v>89</v>
      </c>
      <c r="C18" s="3" t="s">
        <v>89</v>
      </c>
      <c r="D18" s="3" t="s">
        <v>89</v>
      </c>
      <c r="E18" s="3" t="s">
        <v>74</v>
      </c>
      <c r="F18" s="3" t="s">
        <v>78</v>
      </c>
      <c r="G18" s="3" t="s">
        <v>86</v>
      </c>
      <c r="H18" s="3" t="s">
        <v>87</v>
      </c>
    </row>
    <row r="19" spans="1:8">
      <c r="A19" s="2" t="s">
        <v>44</v>
      </c>
      <c r="B19" s="3" t="s">
        <v>53</v>
      </c>
      <c r="C19" s="3" t="s">
        <v>53</v>
      </c>
      <c r="D19" s="3" t="s">
        <v>53</v>
      </c>
      <c r="E19" s="3" t="s">
        <v>53</v>
      </c>
      <c r="F19" s="3" t="s">
        <v>53</v>
      </c>
      <c r="G19" s="3" t="s">
        <v>53</v>
      </c>
      <c r="H19" s="3" t="s">
        <v>53</v>
      </c>
    </row>
    <row r="20" spans="1:8">
      <c r="A20" s="2" t="s">
        <v>605</v>
      </c>
      <c r="B20" s="3" t="s">
        <v>53</v>
      </c>
      <c r="C20" s="3" t="s">
        <v>53</v>
      </c>
      <c r="D20" s="3" t="s">
        <v>53</v>
      </c>
      <c r="E20" s="3" t="s">
        <v>53</v>
      </c>
      <c r="F20" s="3" t="s">
        <v>53</v>
      </c>
      <c r="G20" s="3" t="s">
        <v>53</v>
      </c>
      <c r="H20" s="3" t="s">
        <v>53</v>
      </c>
    </row>
    <row r="21" spans="1:8">
      <c r="A21" s="2" t="s">
        <v>606</v>
      </c>
      <c r="B21" s="3" t="s">
        <v>53</v>
      </c>
      <c r="C21" s="3" t="s">
        <v>53</v>
      </c>
      <c r="D21" s="3" t="s">
        <v>53</v>
      </c>
      <c r="E21" s="3" t="s">
        <v>53</v>
      </c>
      <c r="F21" s="3" t="s">
        <v>53</v>
      </c>
      <c r="G21" s="3" t="s">
        <v>53</v>
      </c>
      <c r="H21" s="3" t="s">
        <v>53</v>
      </c>
    </row>
    <row r="22" spans="1:8">
      <c r="A22" s="2" t="s">
        <v>38</v>
      </c>
      <c r="B22" s="3" t="s">
        <v>90</v>
      </c>
      <c r="C22" s="3" t="s">
        <v>90</v>
      </c>
      <c r="D22" s="3" t="s">
        <v>90</v>
      </c>
      <c r="E22" s="3" t="s">
        <v>75</v>
      </c>
      <c r="F22" s="3" t="s">
        <v>73</v>
      </c>
      <c r="G22" s="3" t="s">
        <v>83</v>
      </c>
      <c r="H22" s="3" t="s">
        <v>79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Ark23">
    <tabColor theme="7" tint="0.39997558519241921"/>
  </sheetPr>
  <dimension ref="A1:H15"/>
  <sheetViews>
    <sheetView workbookViewId="0">
      <selection activeCell="F39" sqref="F39"/>
    </sheetView>
  </sheetViews>
  <sheetFormatPr defaultRowHeight="15"/>
  <cols>
    <col min="1" max="1" width="29.5703125" customWidth="1"/>
    <col min="2" max="8" width="23.85546875" customWidth="1"/>
  </cols>
  <sheetData>
    <row r="1" spans="1:8">
      <c r="A1" t="s">
        <v>654</v>
      </c>
    </row>
    <row r="3" spans="1:8">
      <c r="A3" s="2" t="s">
        <v>608</v>
      </c>
      <c r="B3" s="3" t="s">
        <v>609</v>
      </c>
      <c r="C3" s="3" t="s">
        <v>610</v>
      </c>
      <c r="D3" s="3" t="s">
        <v>611</v>
      </c>
      <c r="E3" s="3" t="s">
        <v>612</v>
      </c>
      <c r="F3" s="3" t="s">
        <v>613</v>
      </c>
      <c r="G3" s="3" t="s">
        <v>358</v>
      </c>
      <c r="H3" s="3" t="s">
        <v>614</v>
      </c>
    </row>
    <row r="4" spans="1:8">
      <c r="A4" s="2" t="s">
        <v>163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</row>
    <row r="5" spans="1:8">
      <c r="A5" s="2" t="s">
        <v>615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</row>
    <row r="6" spans="1:8">
      <c r="A6" s="2" t="s">
        <v>616</v>
      </c>
      <c r="B6" s="3" t="s">
        <v>617</v>
      </c>
      <c r="C6" s="3" t="s">
        <v>618</v>
      </c>
      <c r="D6" s="3" t="s">
        <v>619</v>
      </c>
      <c r="E6" s="3" t="s">
        <v>620</v>
      </c>
      <c r="F6" s="3" t="s">
        <v>621</v>
      </c>
      <c r="G6" s="3" t="s">
        <v>622</v>
      </c>
      <c r="H6" s="3" t="s">
        <v>623</v>
      </c>
    </row>
    <row r="7" spans="1:8">
      <c r="A7" s="2" t="s">
        <v>624</v>
      </c>
      <c r="B7" s="3" t="s">
        <v>625</v>
      </c>
      <c r="C7" s="3" t="s">
        <v>626</v>
      </c>
      <c r="D7" s="3" t="s">
        <v>627</v>
      </c>
      <c r="E7" s="3" t="s">
        <v>628</v>
      </c>
      <c r="F7" s="3" t="s">
        <v>626</v>
      </c>
      <c r="G7" s="3" t="s">
        <v>629</v>
      </c>
      <c r="H7" s="3" t="s">
        <v>630</v>
      </c>
    </row>
    <row r="8" spans="1:8">
      <c r="A8" s="2" t="s">
        <v>631</v>
      </c>
      <c r="B8" s="3" t="s">
        <v>632</v>
      </c>
      <c r="C8" s="3" t="s">
        <v>633</v>
      </c>
      <c r="D8" s="3" t="s">
        <v>634</v>
      </c>
      <c r="E8" s="3" t="s">
        <v>635</v>
      </c>
      <c r="F8" s="3" t="s">
        <v>636</v>
      </c>
      <c r="G8" s="3" t="s">
        <v>637</v>
      </c>
      <c r="H8" s="3" t="s">
        <v>638</v>
      </c>
    </row>
    <row r="9" spans="1:8">
      <c r="A9" s="2" t="s">
        <v>639</v>
      </c>
      <c r="B9" s="4">
        <v>60</v>
      </c>
      <c r="C9" s="4">
        <v>60</v>
      </c>
      <c r="D9" s="4">
        <v>60</v>
      </c>
      <c r="E9" s="4">
        <v>60</v>
      </c>
      <c r="F9" s="4">
        <v>60</v>
      </c>
      <c r="G9" s="4">
        <v>60</v>
      </c>
      <c r="H9" s="4">
        <v>60</v>
      </c>
    </row>
    <row r="10" spans="1:8">
      <c r="A10" s="2" t="s">
        <v>640</v>
      </c>
      <c r="B10" s="3" t="s">
        <v>641</v>
      </c>
      <c r="C10" s="3" t="s">
        <v>53</v>
      </c>
      <c r="D10" s="3" t="s">
        <v>53</v>
      </c>
      <c r="E10" s="3" t="s">
        <v>641</v>
      </c>
      <c r="F10" s="3" t="s">
        <v>53</v>
      </c>
      <c r="G10" s="3" t="s">
        <v>53</v>
      </c>
      <c r="H10" s="3" t="s">
        <v>53</v>
      </c>
    </row>
    <row r="11" spans="1:8">
      <c r="A11" s="2" t="s">
        <v>642</v>
      </c>
      <c r="B11" s="4">
        <v>999</v>
      </c>
      <c r="C11" s="4">
        <v>999</v>
      </c>
      <c r="D11" s="4">
        <v>999</v>
      </c>
      <c r="E11" s="4">
        <v>999</v>
      </c>
      <c r="F11" s="4">
        <v>999</v>
      </c>
      <c r="G11" s="4">
        <v>999</v>
      </c>
      <c r="H11" s="4">
        <v>999</v>
      </c>
    </row>
    <row r="12" spans="1:8">
      <c r="A12" s="2" t="s">
        <v>164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</row>
    <row r="13" spans="1:8">
      <c r="A13" s="2" t="s">
        <v>643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</row>
    <row r="14" spans="1:8">
      <c r="A14" s="2" t="s">
        <v>644</v>
      </c>
      <c r="B14" s="3" t="s">
        <v>645</v>
      </c>
      <c r="C14" s="3" t="s">
        <v>646</v>
      </c>
      <c r="D14" s="3" t="s">
        <v>647</v>
      </c>
      <c r="E14" s="3" t="s">
        <v>648</v>
      </c>
      <c r="F14" s="3" t="s">
        <v>649</v>
      </c>
      <c r="G14" s="3" t="s">
        <v>650</v>
      </c>
      <c r="H14" s="3" t="s">
        <v>651</v>
      </c>
    </row>
    <row r="15" spans="1:8">
      <c r="A15" s="2" t="s">
        <v>652</v>
      </c>
      <c r="B15" s="3" t="s">
        <v>653</v>
      </c>
      <c r="C15" s="3" t="s">
        <v>653</v>
      </c>
      <c r="D15" s="3" t="s">
        <v>653</v>
      </c>
      <c r="E15" s="3" t="s">
        <v>653</v>
      </c>
      <c r="F15" s="3" t="s">
        <v>653</v>
      </c>
      <c r="G15" s="3" t="s">
        <v>653</v>
      </c>
      <c r="H15" s="3" t="s">
        <v>653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Ark24">
    <tabColor theme="7" tint="0.39997558519241921"/>
  </sheetPr>
  <dimension ref="A1:F24"/>
  <sheetViews>
    <sheetView workbookViewId="0">
      <selection activeCell="J34" sqref="J34"/>
    </sheetView>
  </sheetViews>
  <sheetFormatPr defaultRowHeight="15"/>
  <cols>
    <col min="1" max="1" width="14.7109375" bestFit="1" customWidth="1"/>
    <col min="2" max="6" width="17.5703125" customWidth="1"/>
  </cols>
  <sheetData>
    <row r="1" spans="1:6">
      <c r="A1" t="s">
        <v>683</v>
      </c>
    </row>
    <row r="3" spans="1:6">
      <c r="A3" s="2" t="s">
        <v>207</v>
      </c>
      <c r="B3" s="3" t="s">
        <v>655</v>
      </c>
      <c r="C3" s="3" t="s">
        <v>655</v>
      </c>
      <c r="D3" s="3" t="s">
        <v>655</v>
      </c>
      <c r="E3" s="3" t="s">
        <v>655</v>
      </c>
      <c r="F3" s="3" t="s">
        <v>655</v>
      </c>
    </row>
    <row r="4" spans="1:6">
      <c r="A4" s="2" t="s">
        <v>656</v>
      </c>
      <c r="B4" s="4">
        <v>10</v>
      </c>
      <c r="C4" s="4">
        <v>20</v>
      </c>
      <c r="D4" s="4">
        <v>30</v>
      </c>
      <c r="E4" s="4">
        <v>40</v>
      </c>
      <c r="F4" s="4">
        <v>50</v>
      </c>
    </row>
    <row r="5" spans="1:6">
      <c r="A5" s="2" t="s">
        <v>164</v>
      </c>
      <c r="B5" s="3" t="s">
        <v>657</v>
      </c>
      <c r="C5" s="3" t="s">
        <v>657</v>
      </c>
      <c r="D5" s="3" t="s">
        <v>657</v>
      </c>
      <c r="E5" s="3" t="s">
        <v>657</v>
      </c>
      <c r="F5" s="3" t="s">
        <v>657</v>
      </c>
    </row>
    <row r="6" spans="1:6">
      <c r="A6" s="2" t="s">
        <v>208</v>
      </c>
      <c r="B6" s="3" t="s">
        <v>658</v>
      </c>
      <c r="C6" s="3" t="s">
        <v>659</v>
      </c>
      <c r="D6" s="3" t="s">
        <v>660</v>
      </c>
      <c r="E6" s="3" t="s">
        <v>661</v>
      </c>
      <c r="F6" s="3" t="s">
        <v>662</v>
      </c>
    </row>
    <row r="7" spans="1:6">
      <c r="A7" s="2" t="s">
        <v>663</v>
      </c>
      <c r="B7" s="4">
        <v>2</v>
      </c>
      <c r="C7" s="4">
        <v>5</v>
      </c>
      <c r="D7" s="4">
        <v>3</v>
      </c>
      <c r="E7" s="4">
        <v>1</v>
      </c>
      <c r="F7" s="4">
        <v>20</v>
      </c>
    </row>
    <row r="8" spans="1:6">
      <c r="A8" s="2" t="s">
        <v>664</v>
      </c>
      <c r="B8" s="4">
        <v>2</v>
      </c>
      <c r="C8" s="4">
        <v>1</v>
      </c>
      <c r="D8" s="4">
        <v>3</v>
      </c>
      <c r="E8" s="4">
        <v>1</v>
      </c>
      <c r="F8" s="4">
        <v>20</v>
      </c>
    </row>
    <row r="9" spans="1:6">
      <c r="A9" s="2" t="s">
        <v>665</v>
      </c>
      <c r="B9" s="4">
        <v>0</v>
      </c>
      <c r="C9" s="4">
        <v>0</v>
      </c>
      <c r="D9" s="4">
        <v>0</v>
      </c>
      <c r="E9" s="4">
        <v>0</v>
      </c>
      <c r="F9" s="4">
        <v>0</v>
      </c>
    </row>
    <row r="10" spans="1:6">
      <c r="A10" s="2" t="s">
        <v>144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</row>
    <row r="11" spans="1:6">
      <c r="A11" s="2" t="s">
        <v>666</v>
      </c>
      <c r="B11" s="4">
        <v>2</v>
      </c>
      <c r="C11" s="4">
        <v>1</v>
      </c>
      <c r="D11" s="4">
        <v>3</v>
      </c>
      <c r="E11" s="4">
        <v>1</v>
      </c>
      <c r="F11" s="4">
        <v>20</v>
      </c>
    </row>
    <row r="12" spans="1:6">
      <c r="A12" s="2" t="s">
        <v>667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</row>
    <row r="13" spans="1:6">
      <c r="A13" s="2" t="s">
        <v>95</v>
      </c>
      <c r="B13" s="3" t="s">
        <v>668</v>
      </c>
      <c r="C13" s="3" t="s">
        <v>669</v>
      </c>
      <c r="D13" s="3" t="s">
        <v>670</v>
      </c>
      <c r="E13" s="3" t="s">
        <v>671</v>
      </c>
      <c r="F13" s="3" t="s">
        <v>672</v>
      </c>
    </row>
    <row r="14" spans="1:6">
      <c r="A14" s="2" t="s">
        <v>673</v>
      </c>
      <c r="B14" s="3" t="s">
        <v>53</v>
      </c>
      <c r="C14" s="3" t="s">
        <v>53</v>
      </c>
      <c r="D14" s="3" t="s">
        <v>53</v>
      </c>
      <c r="E14" s="3" t="s">
        <v>53</v>
      </c>
      <c r="F14" s="3" t="s">
        <v>53</v>
      </c>
    </row>
    <row r="15" spans="1:6">
      <c r="A15" s="2" t="s">
        <v>674</v>
      </c>
      <c r="B15" s="3" t="s">
        <v>53</v>
      </c>
      <c r="C15" s="3" t="s">
        <v>53</v>
      </c>
      <c r="D15" s="3" t="s">
        <v>53</v>
      </c>
      <c r="E15" s="3" t="s">
        <v>53</v>
      </c>
      <c r="F15" s="3" t="s">
        <v>53</v>
      </c>
    </row>
    <row r="16" spans="1:6">
      <c r="A16" s="2" t="s">
        <v>675</v>
      </c>
      <c r="B16" s="3" t="s">
        <v>53</v>
      </c>
      <c r="C16" s="3" t="s">
        <v>53</v>
      </c>
      <c r="D16" s="3" t="s">
        <v>53</v>
      </c>
      <c r="E16" s="3" t="s">
        <v>53</v>
      </c>
      <c r="F16" s="3" t="s">
        <v>53</v>
      </c>
    </row>
    <row r="17" spans="1:6">
      <c r="A17" s="2" t="s">
        <v>676</v>
      </c>
      <c r="B17" s="3" t="s">
        <v>53</v>
      </c>
      <c r="C17" s="3" t="s">
        <v>53</v>
      </c>
      <c r="D17" s="3" t="s">
        <v>53</v>
      </c>
      <c r="E17" s="3" t="s">
        <v>53</v>
      </c>
      <c r="F17" s="3" t="s">
        <v>53</v>
      </c>
    </row>
    <row r="18" spans="1:6">
      <c r="A18" s="2" t="s">
        <v>677</v>
      </c>
      <c r="B18" s="3" t="s">
        <v>232</v>
      </c>
      <c r="C18" s="3" t="s">
        <v>232</v>
      </c>
      <c r="D18" s="3" t="s">
        <v>232</v>
      </c>
      <c r="E18" s="3" t="s">
        <v>232</v>
      </c>
      <c r="F18" s="3" t="s">
        <v>232</v>
      </c>
    </row>
    <row r="19" spans="1:6">
      <c r="A19" s="2" t="s">
        <v>678</v>
      </c>
      <c r="B19" s="3" t="s">
        <v>53</v>
      </c>
      <c r="C19" s="3" t="s">
        <v>53</v>
      </c>
      <c r="D19" s="3" t="s">
        <v>53</v>
      </c>
      <c r="E19" s="3" t="s">
        <v>53</v>
      </c>
      <c r="F19" s="3" t="s">
        <v>53</v>
      </c>
    </row>
    <row r="20" spans="1:6">
      <c r="A20" s="2" t="s">
        <v>679</v>
      </c>
      <c r="B20" s="4">
        <v>1</v>
      </c>
      <c r="C20" s="4">
        <v>1</v>
      </c>
      <c r="D20" s="4">
        <v>1</v>
      </c>
      <c r="E20" s="4">
        <v>1</v>
      </c>
      <c r="F20" s="4">
        <v>1</v>
      </c>
    </row>
    <row r="21" spans="1:6">
      <c r="A21" s="2" t="s">
        <v>127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</row>
    <row r="22" spans="1:6">
      <c r="A22" s="2" t="s">
        <v>680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</row>
    <row r="23" spans="1:6">
      <c r="A23" s="2" t="s">
        <v>681</v>
      </c>
      <c r="B23" s="3" t="s">
        <v>53</v>
      </c>
      <c r="C23" s="3" t="s">
        <v>53</v>
      </c>
      <c r="D23" s="3" t="s">
        <v>53</v>
      </c>
      <c r="E23" s="3" t="s">
        <v>53</v>
      </c>
      <c r="F23" s="3" t="s">
        <v>53</v>
      </c>
    </row>
    <row r="24" spans="1:6">
      <c r="A24" s="2" t="s">
        <v>682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Ark25">
    <tabColor theme="7" tint="0.39997558519241921"/>
  </sheetPr>
  <dimension ref="A1:G20"/>
  <sheetViews>
    <sheetView workbookViewId="0">
      <selection activeCell="I33" sqref="I33"/>
    </sheetView>
  </sheetViews>
  <sheetFormatPr defaultRowHeight="15"/>
  <cols>
    <col min="1" max="1" width="14" bestFit="1" customWidth="1"/>
    <col min="2" max="7" width="23.5703125" customWidth="1"/>
  </cols>
  <sheetData>
    <row r="1" spans="1:7">
      <c r="A1" t="s">
        <v>723</v>
      </c>
    </row>
    <row r="3" spans="1:7">
      <c r="A3" s="2" t="s">
        <v>207</v>
      </c>
      <c r="B3" s="3" t="s">
        <v>684</v>
      </c>
      <c r="C3" s="3" t="s">
        <v>685</v>
      </c>
      <c r="D3" s="3" t="s">
        <v>686</v>
      </c>
      <c r="E3" s="3" t="s">
        <v>687</v>
      </c>
      <c r="F3" s="3" t="s">
        <v>688</v>
      </c>
      <c r="G3" s="3" t="s">
        <v>689</v>
      </c>
    </row>
    <row r="4" spans="1:7">
      <c r="A4" s="2" t="s">
        <v>163</v>
      </c>
      <c r="B4" s="3" t="s">
        <v>690</v>
      </c>
      <c r="C4" s="3" t="s">
        <v>690</v>
      </c>
      <c r="D4" s="3" t="s">
        <v>690</v>
      </c>
      <c r="E4" s="3" t="s">
        <v>690</v>
      </c>
      <c r="F4" s="3" t="s">
        <v>690</v>
      </c>
      <c r="G4" s="3" t="s">
        <v>690</v>
      </c>
    </row>
    <row r="5" spans="1:7">
      <c r="A5" s="2" t="s">
        <v>164</v>
      </c>
      <c r="B5" s="3" t="s">
        <v>232</v>
      </c>
      <c r="C5" s="3" t="s">
        <v>232</v>
      </c>
      <c r="D5" s="3" t="s">
        <v>232</v>
      </c>
      <c r="E5" s="3" t="s">
        <v>232</v>
      </c>
      <c r="F5" s="3" t="s">
        <v>232</v>
      </c>
      <c r="G5" s="3" t="s">
        <v>232</v>
      </c>
    </row>
    <row r="6" spans="1:7">
      <c r="A6" s="2" t="s">
        <v>185</v>
      </c>
      <c r="B6" s="4">
        <v>10</v>
      </c>
      <c r="C6" s="4">
        <v>10</v>
      </c>
      <c r="D6" s="4">
        <v>10</v>
      </c>
      <c r="E6" s="4">
        <v>10</v>
      </c>
      <c r="F6" s="4">
        <v>10</v>
      </c>
      <c r="G6" s="4">
        <v>10</v>
      </c>
    </row>
    <row r="7" spans="1:7">
      <c r="A7" s="2" t="s">
        <v>691</v>
      </c>
      <c r="B7" s="4">
        <v>2</v>
      </c>
      <c r="C7" s="4">
        <v>1</v>
      </c>
      <c r="D7" s="4">
        <v>6</v>
      </c>
      <c r="E7" s="4">
        <v>1</v>
      </c>
      <c r="F7" s="4">
        <v>1</v>
      </c>
      <c r="G7" s="4">
        <v>3</v>
      </c>
    </row>
    <row r="8" spans="1:7">
      <c r="A8" s="2" t="s">
        <v>692</v>
      </c>
      <c r="B8" s="3" t="s">
        <v>693</v>
      </c>
      <c r="C8" s="3" t="s">
        <v>694</v>
      </c>
      <c r="D8" s="3" t="s">
        <v>695</v>
      </c>
      <c r="E8" s="3" t="s">
        <v>696</v>
      </c>
      <c r="F8" s="3" t="s">
        <v>697</v>
      </c>
      <c r="G8" s="3" t="s">
        <v>698</v>
      </c>
    </row>
    <row r="9" spans="1:7">
      <c r="A9" s="2" t="s">
        <v>40</v>
      </c>
      <c r="B9" s="3" t="s">
        <v>699</v>
      </c>
      <c r="C9" s="3" t="s">
        <v>700</v>
      </c>
      <c r="D9" s="3" t="s">
        <v>701</v>
      </c>
      <c r="E9" s="3" t="s">
        <v>702</v>
      </c>
      <c r="F9" s="3" t="s">
        <v>703</v>
      </c>
      <c r="G9" s="3" t="s">
        <v>704</v>
      </c>
    </row>
    <row r="10" spans="1:7">
      <c r="A10" s="2" t="s">
        <v>705</v>
      </c>
      <c r="B10" s="3" t="s">
        <v>706</v>
      </c>
      <c r="C10" s="3" t="s">
        <v>707</v>
      </c>
      <c r="D10" s="3" t="s">
        <v>708</v>
      </c>
      <c r="E10" s="3" t="s">
        <v>709</v>
      </c>
      <c r="F10" s="3" t="s">
        <v>710</v>
      </c>
      <c r="G10" s="3" t="s">
        <v>711</v>
      </c>
    </row>
    <row r="11" spans="1:7">
      <c r="A11" s="2" t="s">
        <v>712</v>
      </c>
      <c r="B11" s="3" t="s">
        <v>713</v>
      </c>
      <c r="C11" s="3" t="s">
        <v>713</v>
      </c>
      <c r="D11" s="3" t="s">
        <v>713</v>
      </c>
      <c r="E11" s="3" t="s">
        <v>713</v>
      </c>
      <c r="F11" s="3" t="s">
        <v>713</v>
      </c>
      <c r="G11" s="3" t="s">
        <v>713</v>
      </c>
    </row>
    <row r="12" spans="1:7">
      <c r="A12" s="2" t="s">
        <v>667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</row>
    <row r="13" spans="1:7">
      <c r="A13" s="2" t="s">
        <v>677</v>
      </c>
      <c r="B13" s="3" t="s">
        <v>232</v>
      </c>
      <c r="C13" s="3" t="s">
        <v>232</v>
      </c>
      <c r="D13" s="3" t="s">
        <v>232</v>
      </c>
      <c r="E13" s="3" t="s">
        <v>232</v>
      </c>
      <c r="F13" s="3" t="s">
        <v>232</v>
      </c>
      <c r="G13" s="3" t="s">
        <v>232</v>
      </c>
    </row>
    <row r="14" spans="1:7">
      <c r="A14" s="2" t="s">
        <v>678</v>
      </c>
      <c r="B14" s="3" t="s">
        <v>714</v>
      </c>
      <c r="C14" s="3" t="s">
        <v>715</v>
      </c>
      <c r="D14" s="3" t="s">
        <v>714</v>
      </c>
      <c r="E14" s="3" t="s">
        <v>716</v>
      </c>
      <c r="F14" s="3" t="s">
        <v>716</v>
      </c>
      <c r="G14" s="3" t="s">
        <v>717</v>
      </c>
    </row>
    <row r="15" spans="1:7">
      <c r="A15" s="2" t="s">
        <v>718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</row>
    <row r="16" spans="1:7">
      <c r="A16" s="2" t="s">
        <v>719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</row>
    <row r="17" spans="1:7">
      <c r="A17" s="2" t="s">
        <v>34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</row>
    <row r="18" spans="1:7">
      <c r="A18" s="2" t="s">
        <v>188</v>
      </c>
      <c r="B18" s="4">
        <v>210</v>
      </c>
      <c r="C18" s="4">
        <v>210</v>
      </c>
      <c r="D18" s="4">
        <v>210</v>
      </c>
      <c r="E18" s="4">
        <v>210</v>
      </c>
      <c r="F18" s="4">
        <v>210</v>
      </c>
      <c r="G18" s="4">
        <v>210</v>
      </c>
    </row>
    <row r="19" spans="1:7">
      <c r="A19" s="2" t="s">
        <v>720</v>
      </c>
      <c r="B19" s="3" t="s">
        <v>721</v>
      </c>
      <c r="C19" s="3" t="s">
        <v>721</v>
      </c>
      <c r="D19" s="3" t="s">
        <v>721</v>
      </c>
      <c r="E19" s="3" t="s">
        <v>721</v>
      </c>
      <c r="F19" s="3" t="s">
        <v>721</v>
      </c>
      <c r="G19" s="3" t="s">
        <v>721</v>
      </c>
    </row>
    <row r="20" spans="1:7">
      <c r="A20" s="2" t="s">
        <v>722</v>
      </c>
      <c r="B20" s="3" t="s">
        <v>231</v>
      </c>
      <c r="C20" s="3" t="s">
        <v>231</v>
      </c>
      <c r="D20" s="3" t="s">
        <v>231</v>
      </c>
      <c r="E20" s="3" t="s">
        <v>231</v>
      </c>
      <c r="F20" s="3" t="s">
        <v>231</v>
      </c>
      <c r="G20" s="3" t="s">
        <v>231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Ark26">
    <tabColor theme="7" tint="0.59999389629810485"/>
  </sheetPr>
  <dimension ref="A1:H19"/>
  <sheetViews>
    <sheetView workbookViewId="0">
      <selection activeCell="D31" sqref="D31"/>
    </sheetView>
  </sheetViews>
  <sheetFormatPr defaultRowHeight="15"/>
  <cols>
    <col min="1" max="1" width="15.85546875" bestFit="1" customWidth="1"/>
    <col min="2" max="8" width="28" customWidth="1"/>
  </cols>
  <sheetData>
    <row r="1" spans="1:8">
      <c r="A1" t="s">
        <v>775</v>
      </c>
    </row>
    <row r="3" spans="1:8">
      <c r="A3" s="2" t="s">
        <v>449</v>
      </c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11</v>
      </c>
      <c r="H3" s="4">
        <v>12</v>
      </c>
    </row>
    <row r="4" spans="1:8">
      <c r="A4" s="2" t="s">
        <v>724</v>
      </c>
      <c r="B4" s="3" t="s">
        <v>725</v>
      </c>
      <c r="C4" s="3" t="s">
        <v>725</v>
      </c>
      <c r="D4" s="3" t="s">
        <v>725</v>
      </c>
      <c r="E4" s="3" t="s">
        <v>725</v>
      </c>
      <c r="F4" s="3" t="s">
        <v>725</v>
      </c>
      <c r="G4" s="3" t="s">
        <v>726</v>
      </c>
      <c r="H4" s="3" t="s">
        <v>727</v>
      </c>
    </row>
    <row r="5" spans="1:8">
      <c r="A5" s="2" t="s">
        <v>98</v>
      </c>
      <c r="B5" s="3" t="s">
        <v>728</v>
      </c>
      <c r="C5" s="3" t="s">
        <v>729</v>
      </c>
      <c r="D5" s="3" t="s">
        <v>730</v>
      </c>
      <c r="E5" s="3" t="s">
        <v>731</v>
      </c>
      <c r="F5" s="3" t="s">
        <v>732</v>
      </c>
      <c r="G5" s="3" t="s">
        <v>733</v>
      </c>
      <c r="H5" s="3" t="s">
        <v>734</v>
      </c>
    </row>
    <row r="6" spans="1:8">
      <c r="A6" s="2" t="s">
        <v>735</v>
      </c>
      <c r="B6" s="3" t="s">
        <v>736</v>
      </c>
      <c r="C6" s="3" t="s">
        <v>737</v>
      </c>
      <c r="D6" s="3" t="s">
        <v>737</v>
      </c>
      <c r="E6" s="3" t="s">
        <v>738</v>
      </c>
      <c r="F6" s="3" t="s">
        <v>738</v>
      </c>
      <c r="G6" s="3" t="s">
        <v>739</v>
      </c>
      <c r="H6" s="3" t="s">
        <v>740</v>
      </c>
    </row>
    <row r="7" spans="1:8">
      <c r="A7" s="2" t="s">
        <v>741</v>
      </c>
      <c r="B7" s="3" t="s">
        <v>742</v>
      </c>
      <c r="C7" s="3" t="s">
        <v>743</v>
      </c>
      <c r="D7" s="3" t="s">
        <v>742</v>
      </c>
      <c r="E7" s="3" t="s">
        <v>743</v>
      </c>
      <c r="F7" s="3" t="s">
        <v>743</v>
      </c>
      <c r="G7" s="3" t="s">
        <v>742</v>
      </c>
      <c r="H7" s="3" t="s">
        <v>742</v>
      </c>
    </row>
    <row r="8" spans="1:8">
      <c r="A8" s="2" t="s">
        <v>744</v>
      </c>
      <c r="B8" s="3" t="s">
        <v>285</v>
      </c>
      <c r="C8" s="3" t="s">
        <v>745</v>
      </c>
      <c r="D8" s="3" t="s">
        <v>746</v>
      </c>
      <c r="E8" s="3" t="s">
        <v>747</v>
      </c>
      <c r="F8" s="3" t="s">
        <v>748</v>
      </c>
      <c r="G8" s="3" t="s">
        <v>749</v>
      </c>
      <c r="H8" s="3" t="s">
        <v>750</v>
      </c>
    </row>
    <row r="9" spans="1:8">
      <c r="A9" s="2" t="s">
        <v>751</v>
      </c>
      <c r="B9" s="3" t="s">
        <v>752</v>
      </c>
      <c r="C9" s="3" t="s">
        <v>753</v>
      </c>
      <c r="D9" s="3" t="s">
        <v>754</v>
      </c>
      <c r="E9" s="3" t="s">
        <v>755</v>
      </c>
      <c r="F9" s="3" t="s">
        <v>756</v>
      </c>
      <c r="G9" s="3" t="s">
        <v>757</v>
      </c>
      <c r="H9" s="3" t="s">
        <v>757</v>
      </c>
    </row>
    <row r="10" spans="1:8">
      <c r="A10" s="2" t="s">
        <v>758</v>
      </c>
      <c r="B10" s="3" t="s">
        <v>759</v>
      </c>
      <c r="C10" s="3" t="s">
        <v>760</v>
      </c>
      <c r="D10" s="3" t="s">
        <v>53</v>
      </c>
      <c r="E10" s="3" t="s">
        <v>53</v>
      </c>
      <c r="F10" s="3" t="s">
        <v>53</v>
      </c>
      <c r="G10" s="3" t="s">
        <v>53</v>
      </c>
      <c r="H10" s="3" t="s">
        <v>53</v>
      </c>
    </row>
    <row r="11" spans="1:8">
      <c r="A11" s="2" t="s">
        <v>761</v>
      </c>
      <c r="B11" s="4">
        <v>5</v>
      </c>
      <c r="C11" s="4">
        <v>3</v>
      </c>
      <c r="D11" s="4">
        <v>3</v>
      </c>
      <c r="E11" s="4">
        <v>1</v>
      </c>
      <c r="F11" s="4">
        <v>1</v>
      </c>
      <c r="G11" s="4">
        <v>5</v>
      </c>
      <c r="H11" s="4">
        <v>5</v>
      </c>
    </row>
    <row r="12" spans="1:8">
      <c r="A12" s="2" t="s">
        <v>762</v>
      </c>
      <c r="B12" s="3" t="s">
        <v>248</v>
      </c>
      <c r="C12" s="3" t="s">
        <v>248</v>
      </c>
      <c r="D12" s="3" t="s">
        <v>248</v>
      </c>
      <c r="E12" s="3" t="s">
        <v>248</v>
      </c>
      <c r="F12" s="3" t="s">
        <v>248</v>
      </c>
      <c r="G12" s="3" t="s">
        <v>763</v>
      </c>
      <c r="H12" s="3" t="s">
        <v>763</v>
      </c>
    </row>
    <row r="13" spans="1:8">
      <c r="A13" s="2" t="s">
        <v>159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</row>
    <row r="14" spans="1:8">
      <c r="A14" s="2" t="s">
        <v>160</v>
      </c>
      <c r="B14" s="4">
        <v>5000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</row>
    <row r="15" spans="1:8">
      <c r="A15" s="2" t="s">
        <v>161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</row>
    <row r="16" spans="1:8">
      <c r="A16" s="2" t="s">
        <v>764</v>
      </c>
      <c r="B16" s="3" t="s">
        <v>248</v>
      </c>
      <c r="C16" s="3" t="s">
        <v>248</v>
      </c>
      <c r="D16" s="3" t="s">
        <v>248</v>
      </c>
      <c r="E16" s="3" t="s">
        <v>248</v>
      </c>
      <c r="F16" s="3" t="s">
        <v>248</v>
      </c>
      <c r="G16" s="3" t="s">
        <v>248</v>
      </c>
      <c r="H16" s="3" t="s">
        <v>248</v>
      </c>
    </row>
    <row r="17" spans="1:8">
      <c r="A17" s="2" t="s">
        <v>765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</row>
    <row r="18" spans="1:8">
      <c r="A18" s="2" t="s">
        <v>766</v>
      </c>
      <c r="B18" s="3" t="s">
        <v>767</v>
      </c>
      <c r="C18" s="3" t="s">
        <v>768</v>
      </c>
      <c r="D18" s="3" t="s">
        <v>769</v>
      </c>
      <c r="E18" s="3" t="s">
        <v>770</v>
      </c>
      <c r="F18" s="3" t="s">
        <v>768</v>
      </c>
      <c r="G18" s="3" t="s">
        <v>771</v>
      </c>
      <c r="H18" s="3" t="s">
        <v>771</v>
      </c>
    </row>
    <row r="19" spans="1:8">
      <c r="A19" s="2" t="s">
        <v>772</v>
      </c>
      <c r="B19" s="3" t="s">
        <v>773</v>
      </c>
      <c r="C19" s="3" t="s">
        <v>773</v>
      </c>
      <c r="D19" s="3" t="s">
        <v>774</v>
      </c>
      <c r="E19" s="3" t="s">
        <v>774</v>
      </c>
      <c r="F19" s="3" t="s">
        <v>248</v>
      </c>
      <c r="G19" s="3" t="s">
        <v>773</v>
      </c>
      <c r="H19" s="3" t="s">
        <v>773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Ark2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29</vt:i4>
      </vt:variant>
      <vt:variant>
        <vt:lpstr>Navngivne områder</vt:lpstr>
      </vt:variant>
      <vt:variant>
        <vt:i4>1</vt:i4>
      </vt:variant>
    </vt:vector>
  </HeadingPairs>
  <TitlesOfParts>
    <vt:vector size="30" baseType="lpstr">
      <vt:lpstr>Filer</vt:lpstr>
      <vt:lpstr>DB Kolnavne</vt:lpstr>
      <vt:lpstr>Info</vt:lpstr>
      <vt:lpstr>Bat</vt:lpstr>
      <vt:lpstr>Item-dat</vt:lpstr>
      <vt:lpstr>Container-dat</vt:lpstr>
      <vt:lpstr>Customer_label-dat</vt:lpstr>
      <vt:lpstr>Item_conf-dat</vt:lpstr>
      <vt:lpstr>Item_ext-dat</vt:lpstr>
      <vt:lpstr>Lmg_sscc-dat</vt:lpstr>
      <vt:lpstr>Location-dat</vt:lpstr>
      <vt:lpstr>Mat0088</vt:lpstr>
      <vt:lpstr>Materiale-type</vt:lpstr>
      <vt:lpstr>Movements-dat</vt:lpstr>
      <vt:lpstr>operator_event-dat</vt:lpstr>
      <vt:lpstr>pick_count-dat</vt:lpstr>
      <vt:lpstr>pick_req-dat</vt:lpstr>
      <vt:lpstr>putaway-dat</vt:lpstr>
      <vt:lpstr>replen_qty-dat</vt:lpstr>
      <vt:lpstr>Sap-materialer</vt:lpstr>
      <vt:lpstr>stock_req-dat</vt:lpstr>
      <vt:lpstr>stock_spread-dat</vt:lpstr>
      <vt:lpstr>stock-dat</vt:lpstr>
      <vt:lpstr>supply-dat</vt:lpstr>
      <vt:lpstr>users-dat</vt:lpstr>
      <vt:lpstr>wms_order_line-dat</vt:lpstr>
      <vt:lpstr>wms_order-dat</vt:lpstr>
      <vt:lpstr>zones-dat</vt:lpstr>
      <vt:lpstr>Ark1</vt:lpstr>
      <vt:lpstr>Filer!Udskriftsområde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Schreiner-Østerbye</dc:creator>
  <cp:lastModifiedBy>Jonas Skovmose Langagergaard</cp:lastModifiedBy>
  <cp:lastPrinted>2016-09-13T09:55:13Z</cp:lastPrinted>
  <dcterms:created xsi:type="dcterms:W3CDTF">2016-05-17T11:27:57Z</dcterms:created>
  <dcterms:modified xsi:type="dcterms:W3CDTF">2017-11-01T14:46:11Z</dcterms:modified>
</cp:coreProperties>
</file>